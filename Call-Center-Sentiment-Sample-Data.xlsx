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C:\Users\aleez\OneDrive\Documents\Projects\"/>
    </mc:Choice>
  </mc:AlternateContent>
  <xr:revisionPtr revIDLastSave="1" documentId="113_{5B3B6B33-867D-4DC5-991D-EC9EBF21DA0A}" xr6:coauthVersionLast="36" xr6:coauthVersionMax="36" xr10:uidLastSave="{0DDD82FE-9629-49BA-81F3-E2A38FBCD281}"/>
  <bookViews>
    <workbookView xWindow="-110" yWindow="-110" windowWidth="23260" windowHeight="12460" activeTab="2" xr2:uid="{09ED46DE-924B-4F87-A435-105EA3E3F249}"/>
  </bookViews>
  <sheets>
    <sheet name="Call Center Data" sheetId="2" r:id="rId1"/>
    <sheet name="Clean_Data" sheetId="3" r:id="rId2"/>
    <sheet name="Analysis" sheetId="5" r:id="rId3"/>
    <sheet name="Dashboard" sheetId="6" r:id="rId4"/>
  </sheets>
  <definedNames>
    <definedName name="_xlnm._FilterDatabase" localSheetId="1" hidden="1">Clean_Data!$A$6:$N$6</definedName>
    <definedName name="Slicer_Call_Center">#N/A</definedName>
    <definedName name="Slicer_Channel">#N/A</definedName>
    <definedName name="Slicer_Reason">#N/A</definedName>
    <definedName name="Slicer_Sentiment_Group">#N/A</definedName>
    <definedName name="Slicer_SLA_Status">#N/A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8" i="3" l="1"/>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 i="3"/>
  <c r="O76"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8" i="3"/>
  <c r="M9" i="3"/>
  <c r="M10" i="3"/>
  <c r="M11" i="3"/>
  <c r="M12" i="3"/>
  <c r="M13" i="3"/>
  <c r="M14" i="3"/>
  <c r="M15" i="3"/>
  <c r="M16" i="3"/>
  <c r="M17" i="3"/>
  <c r="M18" i="3"/>
  <c r="M7" i="3"/>
  <c r="N8" i="6"/>
  <c r="G8" i="6"/>
  <c r="S8" i="6"/>
  <c r="C8" i="6"/>
  <c r="J8" i="6"/>
</calcChain>
</file>

<file path=xl/sharedStrings.xml><?xml version="1.0" encoding="utf-8"?>
<sst xmlns="http://schemas.openxmlformats.org/spreadsheetml/2006/main" count="1377" uniqueCount="307">
  <si>
    <t>Excel Sample Data</t>
  </si>
  <si>
    <t>Call Center Sentiment Analysis Data</t>
  </si>
  <si>
    <t>ID</t>
  </si>
  <si>
    <t>Customer Name</t>
  </si>
  <si>
    <t>Sentiment</t>
  </si>
  <si>
    <t>CSAT Score</t>
  </si>
  <si>
    <t>Call Timestamp</t>
  </si>
  <si>
    <t>Reason</t>
  </si>
  <si>
    <t>City</t>
  </si>
  <si>
    <t>State</t>
  </si>
  <si>
    <t>Channel</t>
  </si>
  <si>
    <t>Response Time</t>
  </si>
  <si>
    <t>Call Duration (Minutes)</t>
  </si>
  <si>
    <t>Call Center</t>
  </si>
  <si>
    <t>PIS-39858047</t>
  </si>
  <si>
    <t>Frances Gullefant</t>
  </si>
  <si>
    <t>Neutral</t>
  </si>
  <si>
    <t>Billing Question</t>
  </si>
  <si>
    <t>Charleston</t>
  </si>
  <si>
    <t>West Virginia</t>
  </si>
  <si>
    <t>Chatbot</t>
  </si>
  <si>
    <t>Within SLA</t>
  </si>
  <si>
    <t>Chicago/IL</t>
  </si>
  <si>
    <t>ROH-40287216</t>
  </si>
  <si>
    <t>Harcourt Zoanetti</t>
  </si>
  <si>
    <t>Negative</t>
  </si>
  <si>
    <t>Honolulu</t>
  </si>
  <si>
    <t>Hawaii</t>
  </si>
  <si>
    <t>Call-Center</t>
  </si>
  <si>
    <t>Los Angeles/CA</t>
  </si>
  <si>
    <t>NKC-39578431</t>
  </si>
  <si>
    <t>Washington Oxteby</t>
  </si>
  <si>
    <t>Dallas</t>
  </si>
  <si>
    <t>Texas</t>
  </si>
  <si>
    <t>Denver/CO</t>
  </si>
  <si>
    <t>APY-17008648</t>
  </si>
  <si>
    <t>Rafe Duffitt</t>
  </si>
  <si>
    <t>Very Negative</t>
  </si>
  <si>
    <t>Fort Myers</t>
  </si>
  <si>
    <t>Florida</t>
  </si>
  <si>
    <t>Email</t>
  </si>
  <si>
    <t>Below SLA</t>
  </si>
  <si>
    <t>MHK-38443501</t>
  </si>
  <si>
    <t>Tris Bent</t>
  </si>
  <si>
    <t>Positive</t>
  </si>
  <si>
    <t>Tuscaloosa</t>
  </si>
  <si>
    <t>Alabama</t>
  </si>
  <si>
    <t>Web</t>
  </si>
  <si>
    <t>QKL-49133006</t>
  </si>
  <si>
    <t>Kassie Elman</t>
  </si>
  <si>
    <t>South Carolina</t>
  </si>
  <si>
    <t>Baltimore/MD</t>
  </si>
  <si>
    <t>ZPZ-31710059</t>
  </si>
  <si>
    <t>Elbertina Hewins</t>
  </si>
  <si>
    <t>Very Positive</t>
  </si>
  <si>
    <t>Payments</t>
  </si>
  <si>
    <t>Pensacola</t>
  </si>
  <si>
    <t>IJF-13083880</t>
  </si>
  <si>
    <t>Garland Chuney</t>
  </si>
  <si>
    <t>Little Rock</t>
  </si>
  <si>
    <t>Arkansas</t>
  </si>
  <si>
    <t>ZKW-68562847</t>
  </si>
  <si>
    <t>Caroljean Bischop</t>
  </si>
  <si>
    <t>Nashville</t>
  </si>
  <si>
    <t>Tennessee</t>
  </si>
  <si>
    <t>NIL-47926257</t>
  </si>
  <si>
    <t>Delmor McKleod</t>
  </si>
  <si>
    <t>El Paso</t>
  </si>
  <si>
    <t>BPQ-80812775</t>
  </si>
  <si>
    <t>Julee O'Gavin</t>
  </si>
  <si>
    <t>Santa Ana</t>
  </si>
  <si>
    <t>California</t>
  </si>
  <si>
    <t>Above SLA</t>
  </si>
  <si>
    <t>ZOK-34480332</t>
  </si>
  <si>
    <t>Jaye Gribbon</t>
  </si>
  <si>
    <t>Huntington</t>
  </si>
  <si>
    <t>ZMB-79323804</t>
  </si>
  <si>
    <t>Brodie Dobrowski</t>
  </si>
  <si>
    <t>Pittsburgh</t>
  </si>
  <si>
    <t>Pennsylvania</t>
  </si>
  <si>
    <t>YYO-56445305</t>
  </si>
  <si>
    <t>Sibylla Kemet</t>
  </si>
  <si>
    <t>Tucson</t>
  </si>
  <si>
    <t>Arizona</t>
  </si>
  <si>
    <t>JYD-67455825</t>
  </si>
  <si>
    <t>Quintilla Hourston</t>
  </si>
  <si>
    <t>Des Moines</t>
  </si>
  <si>
    <t>Iowa</t>
  </si>
  <si>
    <t>KNO-93249512</t>
  </si>
  <si>
    <t>Maggi Simpson</t>
  </si>
  <si>
    <t>San Francisco</t>
  </si>
  <si>
    <t>VFG-63863025</t>
  </si>
  <si>
    <t>Early Andrassy</t>
  </si>
  <si>
    <t>Lansing</t>
  </si>
  <si>
    <t>Michigan</t>
  </si>
  <si>
    <t>UCT-41608771</t>
  </si>
  <si>
    <t>Ettie Ruoff</t>
  </si>
  <si>
    <t>Washington</t>
  </si>
  <si>
    <t>District of Columbia</t>
  </si>
  <si>
    <t>YLF-83918836</t>
  </si>
  <si>
    <t>Bogey McReath</t>
  </si>
  <si>
    <t>New York City</t>
  </si>
  <si>
    <t>New York</t>
  </si>
  <si>
    <t>QCH-83950486</t>
  </si>
  <si>
    <t>Sephira Philippart</t>
  </si>
  <si>
    <t>Madison</t>
  </si>
  <si>
    <t>Wisconsin</t>
  </si>
  <si>
    <t>PDB-14404239</t>
  </si>
  <si>
    <t>Charles Sandison</t>
  </si>
  <si>
    <t>Fort Pierce</t>
  </si>
  <si>
    <t>LFZ-17229282</t>
  </si>
  <si>
    <t>Zora Keelin</t>
  </si>
  <si>
    <t>Lubbock</t>
  </si>
  <si>
    <t>VKV-67119644</t>
  </si>
  <si>
    <t>Lillis Dewhurst</t>
  </si>
  <si>
    <t>Stockton</t>
  </si>
  <si>
    <t>PBY-32667898</t>
  </si>
  <si>
    <t>Luz Gudgeon</t>
  </si>
  <si>
    <t>Service Outage</t>
  </si>
  <si>
    <t>Corpus Christi</t>
  </si>
  <si>
    <t>EWI-18960031</t>
  </si>
  <si>
    <t>Abigale Morgan</t>
  </si>
  <si>
    <t>Minneapolis</t>
  </si>
  <si>
    <t>Minnesota</t>
  </si>
  <si>
    <t>IYX-48770048</t>
  </si>
  <si>
    <t>Minette Muzzillo</t>
  </si>
  <si>
    <t>Colorado Springs</t>
  </si>
  <si>
    <t>Colorado</t>
  </si>
  <si>
    <t>EVO-87671386</t>
  </si>
  <si>
    <t>Nanon FitzGilbert</t>
  </si>
  <si>
    <t>Abilene</t>
  </si>
  <si>
    <t>ZYX-10467563</t>
  </si>
  <si>
    <t>Ginelle Olver</t>
  </si>
  <si>
    <t>Fort Lauderdale</t>
  </si>
  <si>
    <t>DZU-03236134</t>
  </si>
  <si>
    <t>Tricia Kinnie</t>
  </si>
  <si>
    <t>Shawnee Mission</t>
  </si>
  <si>
    <t>Kansas</t>
  </si>
  <si>
    <t>CAZ-10660311</t>
  </si>
  <si>
    <t>Kristoforo Burnell</t>
  </si>
  <si>
    <t>Gainesville</t>
  </si>
  <si>
    <t>ESF-57588548</t>
  </si>
  <si>
    <t>Dulsea Pendry</t>
  </si>
  <si>
    <t>Erie</t>
  </si>
  <si>
    <t>WKS-55916097</t>
  </si>
  <si>
    <t>Alberik Jacques</t>
  </si>
  <si>
    <t>Houston</t>
  </si>
  <si>
    <t>OHX-59443580</t>
  </si>
  <si>
    <t>Banky Falla</t>
  </si>
  <si>
    <t>Saint Paul</t>
  </si>
  <si>
    <t>TLA-11600824</t>
  </si>
  <si>
    <t>Ganny Crampsy</t>
  </si>
  <si>
    <t>YPB-82095843</t>
  </si>
  <si>
    <t>Shari Adrienne</t>
  </si>
  <si>
    <t>Fort Worth</t>
  </si>
  <si>
    <t>LZU-62237096</t>
  </si>
  <si>
    <t>Charo Aisbett</t>
  </si>
  <si>
    <t>Salt Lake City</t>
  </si>
  <si>
    <t>Utah</t>
  </si>
  <si>
    <t>XCX-53374693</t>
  </si>
  <si>
    <t>Francyne Hagergham</t>
  </si>
  <si>
    <t>PJL-11752230</t>
  </si>
  <si>
    <t>Lindsay Bubb</t>
  </si>
  <si>
    <t>South Lake Tahoe</t>
  </si>
  <si>
    <t>MFC-52269149</t>
  </si>
  <si>
    <t>Roobbie Pickervance</t>
  </si>
  <si>
    <t>Montgomery</t>
  </si>
  <si>
    <t>TQC-88855863</t>
  </si>
  <si>
    <t>Erminia Lummasana</t>
  </si>
  <si>
    <t>Providence</t>
  </si>
  <si>
    <t>Rhode Island</t>
  </si>
  <si>
    <t>FGR-90006976</t>
  </si>
  <si>
    <t>Ariel Pittendreigh</t>
  </si>
  <si>
    <t>Richmond</t>
  </si>
  <si>
    <t>Virginia</t>
  </si>
  <si>
    <t>PAT-23706620</t>
  </si>
  <si>
    <t>Rudie Tomsen</t>
  </si>
  <si>
    <t>Johnstown</t>
  </si>
  <si>
    <t>XRX-56871498</t>
  </si>
  <si>
    <t>Alric Scrane</t>
  </si>
  <si>
    <t>BYM-24034403</t>
  </si>
  <si>
    <t>Eyde Djurevic</t>
  </si>
  <si>
    <t>Bronx</t>
  </si>
  <si>
    <t>TNK-37391425</t>
  </si>
  <si>
    <t>Hubey Wartonby</t>
  </si>
  <si>
    <t>Las Vegas</t>
  </si>
  <si>
    <t>Nevada</t>
  </si>
  <si>
    <t>JJM-32557838</t>
  </si>
  <si>
    <t>Cirstoforo Jemmett</t>
  </si>
  <si>
    <t>KWC-18652469</t>
  </si>
  <si>
    <t>Elijah Goalby</t>
  </si>
  <si>
    <t>Pasadena</t>
  </si>
  <si>
    <t>GCS-45015293</t>
  </si>
  <si>
    <t>Thaddus Seeley</t>
  </si>
  <si>
    <t>Sacramento</t>
  </si>
  <si>
    <t>IZX-08099835</t>
  </si>
  <si>
    <t>Brody Rebichon</t>
  </si>
  <si>
    <t>Chicago</t>
  </si>
  <si>
    <t>Illinois</t>
  </si>
  <si>
    <t>TPZ-92635583</t>
  </si>
  <si>
    <t>Eartha Boner</t>
  </si>
  <si>
    <t>Fort Wayne</t>
  </si>
  <si>
    <t>Indiana</t>
  </si>
  <si>
    <t>JOT-87331404</t>
  </si>
  <si>
    <t>Loralee Shivell</t>
  </si>
  <si>
    <t>Kansas City</t>
  </si>
  <si>
    <t>Missouri</t>
  </si>
  <si>
    <t>OKK-04567923</t>
  </si>
  <si>
    <t>Zacherie Tigner</t>
  </si>
  <si>
    <t>Long Beach</t>
  </si>
  <si>
    <t>TCX-30032546</t>
  </si>
  <si>
    <t>Madelena Pinnock</t>
  </si>
  <si>
    <t>HMX-04214019</t>
  </si>
  <si>
    <t>Mira Beddows</t>
  </si>
  <si>
    <t>Baton Rouge</t>
  </si>
  <si>
    <t>Louisiana</t>
  </si>
  <si>
    <t>SYU-34524338</t>
  </si>
  <si>
    <t>Giralda Gebby</t>
  </si>
  <si>
    <t>Naperville</t>
  </si>
  <si>
    <t>GBF-72465641</t>
  </si>
  <si>
    <t>Shelagh Washington</t>
  </si>
  <si>
    <t>FMF-68865737</t>
  </si>
  <si>
    <t>Janeczka Caze</t>
  </si>
  <si>
    <t>WMA-45712668</t>
  </si>
  <si>
    <t>Angie Francklin</t>
  </si>
  <si>
    <t>Evansville</t>
  </si>
  <si>
    <t>VEC-69408692</t>
  </si>
  <si>
    <t>Anna-maria McPeice</t>
  </si>
  <si>
    <t>Rockford</t>
  </si>
  <si>
    <t>MBN-58485152</t>
  </si>
  <si>
    <t>Jude Traise</t>
  </si>
  <si>
    <t>Harrisburg</t>
  </si>
  <si>
    <t>VBY-78584211</t>
  </si>
  <si>
    <t>Evangeline Dillingham</t>
  </si>
  <si>
    <t>Reno</t>
  </si>
  <si>
    <t>WSO-69134806</t>
  </si>
  <si>
    <t>Patti Gocher</t>
  </si>
  <si>
    <t>Bloomington</t>
  </si>
  <si>
    <t>MYP-30178430</t>
  </si>
  <si>
    <t>Cora Buggs</t>
  </si>
  <si>
    <t>Katy</t>
  </si>
  <si>
    <t>FRU-31409409</t>
  </si>
  <si>
    <t>Othella Kindle</t>
  </si>
  <si>
    <t>VMZ-59696572</t>
  </si>
  <si>
    <t>Sheppard Withull</t>
  </si>
  <si>
    <t>Concord</t>
  </si>
  <si>
    <t>JCE-87896568</t>
  </si>
  <si>
    <t>Llewellyn Pablos</t>
  </si>
  <si>
    <t>GZL-83273642</t>
  </si>
  <si>
    <t>Lurleen Swadden</t>
  </si>
  <si>
    <t>YHK-31842577</t>
  </si>
  <si>
    <t>Ardith Bunting</t>
  </si>
  <si>
    <t>Columbus</t>
  </si>
  <si>
    <t>Ohio</t>
  </si>
  <si>
    <t>BGA-81071725</t>
  </si>
  <si>
    <t>Wylie Gramer</t>
  </si>
  <si>
    <t>Georgia</t>
  </si>
  <si>
    <t>CRQ-64410572</t>
  </si>
  <si>
    <t>Bat Pond</t>
  </si>
  <si>
    <t>Month</t>
  </si>
  <si>
    <t>Sentiment Group</t>
  </si>
  <si>
    <t>CSAT Category</t>
  </si>
  <si>
    <t>Call Duration Category</t>
  </si>
  <si>
    <t>SLA Status</t>
  </si>
  <si>
    <t>Clean Sample Data</t>
  </si>
  <si>
    <t>Grand Total</t>
  </si>
  <si>
    <t>Calls</t>
  </si>
  <si>
    <t>Average CSAT</t>
  </si>
  <si>
    <t>Avg CSAT</t>
  </si>
  <si>
    <t>Avg Duration</t>
  </si>
  <si>
    <t>01-Jan</t>
  </si>
  <si>
    <t>02-Jan</t>
  </si>
  <si>
    <t>03-Jan</t>
  </si>
  <si>
    <t>04-Jan</t>
  </si>
  <si>
    <t>05-Jan</t>
  </si>
  <si>
    <t>06-Jan</t>
  </si>
  <si>
    <t>07-Jan</t>
  </si>
  <si>
    <t>08-Jan</t>
  </si>
  <si>
    <t>09-Jan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</si>
  <si>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</si>
  <si>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</si>
  <si>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</si>
  <si>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</si>
  <si>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</si>
  <si>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</si>
  <si>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</si>
  <si>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</si>
  <si>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</si>
  <si>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</si>
  <si>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</si>
  <si>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</si>
  <si>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</si>
  <si>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</si>
  <si>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</si>
  <si>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</si>
  <si>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</si>
  <si>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</si>
  <si>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</si>
  <si>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</si>
  <si>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</si>
  <si>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</si>
  <si>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Call TimeStamp</t>
  </si>
  <si>
    <t>Total Calls</t>
  </si>
  <si>
    <t>Negative Sentiment</t>
  </si>
  <si>
    <t>WithinSLA</t>
  </si>
  <si>
    <t>Call Center Sentiment &amp; Customer Satisfaction Analysis</t>
  </si>
  <si>
    <t>Avg Call Duration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</si>
</sst>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9" x14ac:knownFonts="1">
    <font>
      <sz val="11"/>
      <color theme="1"/>
      <name val="Calibri Light"/>
      <family val="2"/>
      <scheme val="minor"/>
    </font>
    <font>
      <b/>
      <sz val="14"/>
      <color rgb="FF272760"/>
      <name val="Calibri"/>
      <family val="2"/>
    </font>
    <font>
      <sz val="11"/>
      <color theme="1"/>
      <name val="Calibri"/>
      <family val="2"/>
    </font>
    <font>
      <b/>
      <sz val="13"/>
      <color rgb="FF272760"/>
      <name val="Calibri"/>
      <family val="2"/>
    </font>
    <font>
      <b/>
      <sz val="12"/>
      <color rgb="FFFFFFFF"/>
      <name val="Calibri"/>
      <family val="2"/>
    </font>
    <font>
      <sz val="11"/>
      <color rgb="FF000000"/>
      <name val="Calibri"/>
      <family val="2"/>
    </font>
    <font>
      <sz val="11"/>
      <color theme="1"/>
      <name val="Calibri Light"/>
      <family val="2"/>
      <scheme val="minor"/>
    </font>
    <font>
      <b/>
      <sz val="11"/>
      <color theme="1"/>
      <name val="Calibri"/>
      <family val="2"/>
    </font>
    <font>
      <b/>
      <sz val="12"/>
      <color theme="0"/>
      <name val="Calibri"/>
      <family val="2"/>
    </font>
    <font>
      <sz val="11"/>
      <color theme="0"/>
      <name val="Calibri"/>
      <family val="2"/>
    </font>
    <font>
      <sz val="11"/>
      <color theme="3"/>
      <name val="Calibri"/>
      <family val="2"/>
    </font>
    <font>
      <b/>
      <sz val="11"/>
      <color theme="3"/>
      <name val="Calibri"/>
      <family val="2"/>
    </font>
    <font>
      <b/>
      <sz val="14"/>
      <color theme="3"/>
      <name val="Calibri"/>
      <family val="2"/>
    </font>
    <font>
      <b/>
      <sz val="22"/>
      <color theme="0"/>
      <name val="Bookman Old Style"/>
      <family val="1"/>
    </font>
    <font>
      <b/>
      <sz val="18"/>
      <color theme="1"/>
      <name val="Calisto MT"/>
      <family val="1"/>
    </font>
    <font>
      <b/>
      <sz val="18"/>
      <color theme="1"/>
      <name val="Times New Roman"/>
      <family val="1"/>
    </font>
    <font>
      <b/>
      <sz val="22"/>
      <color theme="1"/>
      <name val="Book Antiqua"/>
      <family val="1"/>
    </font>
    <font>
      <b/>
      <sz val="20"/>
      <color theme="1"/>
      <name val="Calibri Light"/>
      <family val="2"/>
      <scheme val="minor"/>
    </font>
    <font>
      <b/>
      <sz val="18"/>
      <color theme="1"/>
      <name val="Book Antiqua"/>
      <family val="1"/>
    </font>
  </fonts>
  <fills count="8">
    <fill>
      <patternFill patternType="none"/>
    </fill>
    <fill>
      <patternFill patternType="gray125"/>
    </fill>
    <fill>
      <patternFill patternType="solid">
        <fgColor rgb="FFD9E1F2"/>
        <bgColor indexed="64"/>
      </patternFill>
    </fill>
    <fill>
      <patternFill patternType="solid">
        <fgColor rgb="FF272760"/>
        <bgColor indexed="64"/>
      </patternFill>
    </fill>
    <fill>
      <patternFill patternType="solid">
        <fgColor theme="3" tint="0.89999084444715716"/>
        <bgColor indexed="64"/>
      </patternFill>
    </fill>
    <fill>
      <patternFill patternType="solid">
        <fgColor theme="4"/>
        <bgColor indexed="64"/>
      </patternFill>
    </fill>
    <fill>
      <patternFill patternType="solid">
        <fgColor theme="8"/>
        <bgColor indexed="64"/>
      </patternFill>
    </fill>
    <fill>
      <patternFill patternType="solid">
        <fgColor theme="9" tint="0.39997558519241921"/>
        <bgColor indexed="64"/>
      </patternFill>
    </fill>
  </fills>
  <borders count="43">
    <border>
      <left/>
      <right/>
      <top/>
      <bottom/>
      <diagonal/>
    </border>
    <border>
      <left/>
      <right/>
      <top/>
      <bottom style="medium">
        <color rgb="FF272760"/>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medium">
        <color theme="2"/>
      </bottom>
      <diagonal/>
    </border>
    <border>
      <left style="thin">
        <color rgb="FFD9D9D9"/>
      </left>
      <right style="thin">
        <color rgb="FFD9D9D9"/>
      </right>
      <top/>
      <bottom style="thin">
        <color rgb="FFD9D9D9"/>
      </bottom>
      <diagonal/>
    </border>
    <border>
      <left style="thin">
        <color rgb="FFD9D9D9"/>
      </left>
      <right style="thin">
        <color theme="2"/>
      </right>
      <top style="thin">
        <color rgb="FFD9D9D9"/>
      </top>
      <bottom style="thin">
        <color rgb="FFD9D9D9"/>
      </bottom>
      <diagonal/>
    </border>
    <border>
      <left style="thin">
        <color theme="2"/>
      </left>
      <right style="thin">
        <color theme="2"/>
      </right>
      <top/>
      <bottom/>
      <diagonal/>
    </border>
    <border>
      <left/>
      <right style="thin">
        <color theme="2"/>
      </right>
      <top/>
      <bottom/>
      <diagonal/>
    </border>
    <border>
      <left/>
      <right/>
      <top style="medium">
        <color theme="4"/>
      </top>
      <bottom/>
      <diagonal/>
    </border>
    <border>
      <left/>
      <right/>
      <top/>
      <bottom style="medium">
        <color theme="4"/>
      </bottom>
      <diagonal/>
    </border>
    <border>
      <left style="medium">
        <color theme="1"/>
      </left>
      <right style="medium">
        <color theme="1"/>
      </right>
      <top style="medium">
        <color theme="1"/>
      </top>
      <bottom style="medium">
        <color theme="1"/>
      </bottom>
      <diagonal/>
    </border>
    <border>
      <left style="medium">
        <color theme="1"/>
      </left>
      <right style="medium">
        <color theme="1"/>
      </right>
      <top style="medium">
        <color theme="1"/>
      </top>
      <bottom/>
      <diagonal/>
    </border>
    <border>
      <left style="medium">
        <color theme="1"/>
      </left>
      <right style="medium">
        <color theme="1"/>
      </right>
      <top/>
      <bottom style="medium">
        <color theme="1"/>
      </bottom>
      <diagonal/>
    </border>
    <border>
      <left style="medium">
        <color theme="1"/>
      </left>
      <right style="medium">
        <color theme="1"/>
      </right>
      <top style="medium">
        <color theme="1"/>
      </top>
      <bottom style="medium">
        <color theme="9" tint="-0.249977111117893"/>
      </bottom>
      <diagonal/>
    </border>
    <border>
      <left style="medium">
        <color theme="1"/>
      </left>
      <right style="medium">
        <color theme="9" tint="-0.249977111117893"/>
      </right>
      <top style="medium">
        <color theme="1"/>
      </top>
      <bottom style="medium">
        <color theme="9" tint="-0.249977111117893"/>
      </bottom>
      <diagonal/>
    </border>
    <border>
      <left style="medium">
        <color theme="9" tint="-0.249977111117893"/>
      </left>
      <right style="medium">
        <color theme="1"/>
      </right>
      <top style="medium">
        <color theme="1"/>
      </top>
      <bottom style="medium">
        <color theme="9" tint="-0.249977111117893"/>
      </bottom>
      <diagonal/>
    </border>
    <border>
      <left style="medium">
        <color theme="9" tint="-0.249977111117893"/>
      </left>
      <right style="medium">
        <color theme="1"/>
      </right>
      <top/>
      <bottom style="medium">
        <color theme="1"/>
      </bottom>
      <diagonal/>
    </border>
    <border>
      <left style="medium">
        <color theme="1"/>
      </left>
      <right style="medium">
        <color theme="9" tint="-0.249977111117893"/>
      </right>
      <top/>
      <bottom style="medium">
        <color theme="1"/>
      </bottom>
      <diagonal/>
    </border>
    <border>
      <left style="medium">
        <color theme="9" tint="-0.249977111117893"/>
      </left>
      <right style="medium">
        <color theme="1"/>
      </right>
      <top style="medium">
        <color theme="1"/>
      </top>
      <bottom/>
      <diagonal/>
    </border>
    <border>
      <left style="medium">
        <color theme="1"/>
      </left>
      <right style="medium">
        <color theme="9" tint="-0.249977111117893"/>
      </right>
      <top style="medium">
        <color theme="1"/>
      </top>
      <bottom/>
      <diagonal/>
    </border>
    <border>
      <left style="medium">
        <color theme="9" tint="-0.249977111117893"/>
      </left>
      <right style="medium">
        <color theme="1"/>
      </right>
      <top style="medium">
        <color theme="9" tint="0.39997558519241921"/>
      </top>
      <bottom style="medium">
        <color theme="1"/>
      </bottom>
      <diagonal/>
    </border>
    <border>
      <left style="medium">
        <color theme="1"/>
      </left>
      <right style="medium">
        <color theme="1"/>
      </right>
      <top style="medium">
        <color theme="9" tint="0.39997558519241921"/>
      </top>
      <bottom style="medium">
        <color theme="1"/>
      </bottom>
      <diagonal/>
    </border>
    <border>
      <left style="medium">
        <color theme="1"/>
      </left>
      <right style="medium">
        <color theme="9" tint="-0.249977111117893"/>
      </right>
      <top style="medium">
        <color theme="9" tint="0.39997558519241921"/>
      </top>
      <bottom style="medium">
        <color theme="1"/>
      </bottom>
      <diagonal/>
    </border>
    <border>
      <left style="medium">
        <color theme="9" tint="-0.249977111117893"/>
      </left>
      <right style="medium">
        <color theme="1"/>
      </right>
      <top style="medium">
        <color theme="1"/>
      </top>
      <bottom style="medium">
        <color theme="9" tint="0.39997558519241921"/>
      </bottom>
      <diagonal/>
    </border>
    <border>
      <left style="medium">
        <color theme="1"/>
      </left>
      <right style="medium">
        <color theme="1"/>
      </right>
      <top style="medium">
        <color theme="1"/>
      </top>
      <bottom style="medium">
        <color theme="9" tint="0.39997558519241921"/>
      </bottom>
      <diagonal/>
    </border>
    <border>
      <left style="medium">
        <color theme="1"/>
      </left>
      <right style="medium">
        <color theme="9" tint="-0.249977111117893"/>
      </right>
      <top style="medium">
        <color theme="1"/>
      </top>
      <bottom style="medium">
        <color theme="9" tint="0.39997558519241921"/>
      </bottom>
      <diagonal/>
    </border>
    <border>
      <left style="medium">
        <color theme="1"/>
      </left>
      <right style="medium">
        <color theme="6" tint="-0.499984740745262"/>
      </right>
      <top style="medium">
        <color theme="1"/>
      </top>
      <bottom style="medium">
        <color theme="1"/>
      </bottom>
      <diagonal/>
    </border>
    <border>
      <left style="medium">
        <color theme="1"/>
      </left>
      <right style="medium">
        <color theme="1"/>
      </right>
      <top style="medium">
        <color theme="6" tint="-0.499984740745262"/>
      </top>
      <bottom style="medium">
        <color theme="1"/>
      </bottom>
      <diagonal/>
    </border>
    <border>
      <left style="medium">
        <color theme="1"/>
      </left>
      <right style="medium">
        <color theme="6" tint="-0.499984740745262"/>
      </right>
      <top style="medium">
        <color theme="6" tint="-0.499984740745262"/>
      </top>
      <bottom style="medium">
        <color theme="1"/>
      </bottom>
      <diagonal/>
    </border>
    <border>
      <left style="medium">
        <color theme="1"/>
      </left>
      <right style="medium">
        <color theme="1"/>
      </right>
      <top style="medium">
        <color theme="1"/>
      </top>
      <bottom style="medium">
        <color theme="6" tint="-0.499984740745262"/>
      </bottom>
      <diagonal/>
    </border>
    <border>
      <left style="medium">
        <color theme="1"/>
      </left>
      <right style="medium">
        <color theme="6" tint="-0.499984740745262"/>
      </right>
      <top style="medium">
        <color theme="1"/>
      </top>
      <bottom style="medium">
        <color theme="6" tint="-0.499984740745262"/>
      </bottom>
      <diagonal/>
    </border>
    <border>
      <left style="medium">
        <color theme="9" tint="-0.249977111117893"/>
      </left>
      <right/>
      <top style="medium">
        <color theme="6" tint="-0.499984740745262"/>
      </top>
      <bottom/>
      <diagonal/>
    </border>
    <border>
      <left/>
      <right/>
      <top style="medium">
        <color theme="6" tint="-0.499984740745262"/>
      </top>
      <bottom/>
      <diagonal/>
    </border>
    <border>
      <left/>
      <right style="medium">
        <color theme="9" tint="-0.249977111117893"/>
      </right>
      <top style="medium">
        <color theme="6" tint="-0.499984740745262"/>
      </top>
      <bottom/>
      <diagonal/>
    </border>
    <border>
      <left style="medium">
        <color theme="9" tint="-0.249977111117893"/>
      </left>
      <right/>
      <top/>
      <bottom style="medium">
        <color theme="9" tint="0.39997558519241921"/>
      </bottom>
      <diagonal/>
    </border>
    <border>
      <left/>
      <right/>
      <top/>
      <bottom style="medium">
        <color theme="9" tint="0.39997558519241921"/>
      </bottom>
      <diagonal/>
    </border>
    <border>
      <left/>
      <right style="medium">
        <color theme="9" tint="-0.249977111117893"/>
      </right>
      <top/>
      <bottom style="medium">
        <color theme="9" tint="0.39997558519241921"/>
      </bottom>
      <diagonal/>
    </border>
    <border>
      <left style="medium">
        <color theme="9" tint="-0.249977111117893"/>
      </left>
      <right/>
      <top style="medium">
        <color theme="9" tint="0.39997558519241921"/>
      </top>
      <bottom/>
      <diagonal/>
    </border>
    <border>
      <left/>
      <right/>
      <top style="medium">
        <color theme="9" tint="0.39997558519241921"/>
      </top>
      <bottom/>
      <diagonal/>
    </border>
    <border>
      <left/>
      <right style="medium">
        <color theme="9" tint="-0.249977111117893"/>
      </right>
      <top style="medium">
        <color theme="9" tint="0.39997558519241921"/>
      </top>
      <bottom/>
      <diagonal/>
    </border>
    <border>
      <left style="medium">
        <color theme="9" tint="-0.249977111117893"/>
      </left>
      <right/>
      <top/>
      <bottom style="medium">
        <color theme="9" tint="-0.249977111117893"/>
      </bottom>
      <diagonal/>
    </border>
    <border>
      <left/>
      <right/>
      <top/>
      <bottom style="medium">
        <color theme="9" tint="-0.249977111117893"/>
      </bottom>
      <diagonal/>
    </border>
    <border>
      <left/>
      <right style="medium">
        <color theme="9" tint="-0.249977111117893"/>
      </right>
      <top/>
      <bottom style="medium">
        <color theme="9" tint="-0.249977111117893"/>
      </bottom>
      <diagonal/>
    </border>
  </borders>
  <cellStyleXfs count="2">
    <xf numFmtId="0" fontId="0" fillId="0" borderId="0"/>
    <xf numFmtId="9" fontId="6" fillId="0" borderId="0" applyFont="0" applyFill="0" applyBorder="0" applyAlignment="0" applyProtection="0"/>
  </cellStyleXfs>
  <cellXfs count="103">
    <xf numFmtId="0" fontId="0" fillId="0" borderId="0" xfId="0"/>
    <xf numFmtId="0" fontId="1" fillId="2" borderId="1" xfId="0" applyFont="1" applyFill="1" applyBorder="1" applyAlignment="1">
      <alignment horizontal="centerContinuous" vertical="center"/>
    </xf>
    <xf numFmtId="0" fontId="2" fillId="0" borderId="0" xfId="0" applyFont="1"/>
    <xf numFmtId="0" fontId="3" fillId="2" borderId="1" xfId="0" applyFont="1" applyFill="1" applyBorder="1" applyAlignment="1">
      <alignment horizontal="centerContinuous" vertical="center"/>
    </xf>
    <xf numFmtId="0" fontId="4" fillId="3" borderId="2" xfId="0" applyFont="1" applyFill="1" applyBorder="1" applyAlignment="1">
      <alignment horizontal="center" vertical="center" wrapText="1"/>
    </xf>
    <xf numFmtId="0" fontId="5" fillId="0" borderId="2" xfId="0" applyFont="1" applyBorder="1" applyAlignment="1">
      <alignment vertical="center"/>
    </xf>
    <xf numFmtId="14" fontId="5" fillId="0" borderId="2" xfId="0" applyNumberFormat="1" applyFont="1" applyBorder="1" applyAlignment="1">
      <alignment vertical="center"/>
    </xf>
    <xf numFmtId="14" fontId="2" fillId="0" borderId="0" xfId="0" applyNumberFormat="1" applyFont="1"/>
    <xf numFmtId="0" fontId="2" fillId="0" borderId="0" xfId="0" applyFont="1" applyFill="1"/>
    <xf numFmtId="0" fontId="8" fillId="5" borderId="2" xfId="0" applyFont="1" applyFill="1" applyBorder="1" applyAlignment="1">
      <alignment horizontal="center" vertical="center" wrapText="1"/>
    </xf>
    <xf numFmtId="0" fontId="9" fillId="0" borderId="0" xfId="0" applyFont="1" applyFill="1"/>
    <xf numFmtId="0" fontId="5" fillId="0" borderId="4" xfId="0" applyFont="1" applyBorder="1" applyAlignment="1">
      <alignment vertical="center"/>
    </xf>
    <xf numFmtId="0" fontId="5" fillId="0" borderId="3" xfId="0" applyFont="1" applyBorder="1" applyAlignment="1">
      <alignment vertical="center"/>
    </xf>
    <xf numFmtId="0" fontId="8" fillId="5" borderId="5" xfId="0" applyFont="1" applyFill="1" applyBorder="1" applyAlignment="1">
      <alignment horizontal="center" vertical="center" wrapText="1"/>
    </xf>
    <xf numFmtId="0" fontId="2" fillId="0" borderId="8" xfId="0" applyFont="1" applyFill="1" applyBorder="1"/>
    <xf numFmtId="0" fontId="10" fillId="4" borderId="9" xfId="0" applyFont="1" applyFill="1" applyBorder="1" applyAlignment="1">
      <alignment vertical="center"/>
    </xf>
    <xf numFmtId="0" fontId="10" fillId="4" borderId="0" xfId="0" applyFont="1" applyFill="1" applyBorder="1" applyAlignment="1">
      <alignment vertical="center"/>
    </xf>
    <xf numFmtId="0" fontId="10" fillId="4" borderId="7" xfId="0" applyFont="1" applyFill="1" applyBorder="1" applyAlignment="1">
      <alignment vertical="center"/>
    </xf>
    <xf numFmtId="0" fontId="2" fillId="4" borderId="9" xfId="0" applyFont="1" applyFill="1" applyBorder="1"/>
    <xf numFmtId="0" fontId="7" fillId="4" borderId="9" xfId="0" applyFont="1" applyFill="1" applyBorder="1"/>
    <xf numFmtId="0" fontId="8" fillId="5" borderId="6" xfId="0" applyFont="1" applyFill="1" applyBorder="1" applyAlignment="1">
      <alignment horizontal="center" vertical="center"/>
    </xf>
    <xf numFmtId="0" fontId="8" fillId="5" borderId="0"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164" fontId="0" fillId="0" borderId="0" xfId="0" applyNumberFormat="1"/>
    <xf numFmtId="1" fontId="0" fillId="0" borderId="0" xfId="0" applyNumberFormat="1"/>
    <xf numFmtId="0" fontId="0" fillId="0" borderId="0" xfId="0" applyAlignment="1"/>
    <xf numFmtId="14" fontId="0" fillId="0" borderId="0" xfId="0" applyNumberFormat="1" applyAlignment="1">
      <alignment horizontal="left"/>
    </xf>
    <xf numFmtId="0" fontId="0" fillId="0" borderId="0" xfId="0" applyFill="1"/>
    <xf numFmtId="0" fontId="0" fillId="0" borderId="0" xfId="0" applyFill="1" applyBorder="1"/>
    <xf numFmtId="0" fontId="0" fillId="0" borderId="0" xfId="0" applyBorder="1"/>
    <xf numFmtId="0" fontId="0" fillId="0" borderId="0" xfId="0" pivotButton="1" applyAlignment="1"/>
    <xf numFmtId="164" fontId="0" fillId="0" borderId="0" xfId="0" pivotButton="1" applyNumberFormat="1"/>
    <xf numFmtId="9" fontId="0" fillId="0" borderId="0" xfId="0" applyNumberFormat="1"/>
    <xf numFmtId="0" fontId="14" fillId="0" borderId="0" xfId="0" applyFont="1" applyFill="1" applyBorder="1" applyAlignment="1">
      <alignment vertical="center"/>
    </xf>
    <xf numFmtId="0" fontId="15" fillId="0" borderId="0" xfId="0" applyFont="1" applyFill="1" applyBorder="1" applyAlignment="1">
      <alignment vertical="center"/>
    </xf>
    <xf numFmtId="2" fontId="15" fillId="0" borderId="0" xfId="0" applyNumberFormat="1" applyFont="1" applyFill="1" applyBorder="1" applyAlignment="1">
      <alignment vertical="center"/>
    </xf>
    <xf numFmtId="10" fontId="15" fillId="0" borderId="0" xfId="1" applyNumberFormat="1" applyFont="1" applyFill="1" applyBorder="1" applyAlignment="1">
      <alignment vertical="center"/>
    </xf>
    <xf numFmtId="164" fontId="15" fillId="0" borderId="0" xfId="0" applyNumberFormat="1" applyFont="1" applyFill="1" applyBorder="1" applyAlignment="1">
      <alignment vertical="center"/>
    </xf>
    <xf numFmtId="165" fontId="15" fillId="0" borderId="0" xfId="1" applyNumberFormat="1" applyFont="1" applyFill="1" applyBorder="1" applyAlignment="1">
      <alignment vertical="center"/>
    </xf>
    <xf numFmtId="0" fontId="0" fillId="0" borderId="0" xfId="0" applyFill="1" applyAlignment="1">
      <alignment wrapText="1"/>
    </xf>
    <xf numFmtId="0" fontId="12" fillId="4" borderId="0" xfId="0" applyFont="1" applyFill="1" applyBorder="1" applyAlignment="1">
      <alignment horizontal="center" vertical="center"/>
    </xf>
    <xf numFmtId="0" fontId="11" fillId="4" borderId="0" xfId="0" applyFont="1" applyFill="1" applyBorder="1" applyAlignment="1">
      <alignment horizontal="center" vertical="center"/>
    </xf>
    <xf numFmtId="0" fontId="12" fillId="4" borderId="9" xfId="0" applyFont="1" applyFill="1" applyBorder="1" applyAlignment="1">
      <alignment horizontal="center"/>
    </xf>
    <xf numFmtId="0" fontId="10" fillId="4" borderId="9" xfId="0" applyFont="1" applyFill="1" applyBorder="1" applyAlignment="1">
      <alignment horizontal="center"/>
    </xf>
    <xf numFmtId="0" fontId="0" fillId="0" borderId="0" xfId="0" applyAlignment="1">
      <alignment horizontal="center"/>
    </xf>
    <xf numFmtId="0" fontId="17" fillId="6" borderId="10" xfId="0" applyFont="1" applyFill="1" applyBorder="1" applyAlignment="1">
      <alignment horizontal="center" vertical="center"/>
    </xf>
    <xf numFmtId="0" fontId="0" fillId="0" borderId="0" xfId="0" applyFill="1" applyAlignment="1">
      <alignment horizontal="center"/>
    </xf>
    <xf numFmtId="164" fontId="18" fillId="7" borderId="37" xfId="0" applyNumberFormat="1" applyFont="1" applyFill="1" applyBorder="1" applyAlignment="1">
      <alignment horizontal="center" vertical="center"/>
    </xf>
    <xf numFmtId="164" fontId="18" fillId="7" borderId="38" xfId="0" applyNumberFormat="1" applyFont="1" applyFill="1" applyBorder="1" applyAlignment="1">
      <alignment horizontal="center" vertical="center"/>
    </xf>
    <xf numFmtId="164" fontId="18" fillId="7" borderId="39" xfId="0" applyNumberFormat="1" applyFont="1" applyFill="1" applyBorder="1" applyAlignment="1">
      <alignment horizontal="center" vertical="center"/>
    </xf>
    <xf numFmtId="164" fontId="18" fillId="7" borderId="40" xfId="0" applyNumberFormat="1" applyFont="1" applyFill="1" applyBorder="1" applyAlignment="1">
      <alignment horizontal="center" vertical="center"/>
    </xf>
    <xf numFmtId="164" fontId="18" fillId="7" borderId="41" xfId="0" applyNumberFormat="1" applyFont="1" applyFill="1" applyBorder="1" applyAlignment="1">
      <alignment horizontal="center" vertical="center"/>
    </xf>
    <xf numFmtId="164" fontId="18" fillId="7" borderId="42" xfId="0" applyNumberFormat="1" applyFont="1" applyFill="1" applyBorder="1" applyAlignment="1">
      <alignment horizontal="center" vertical="center"/>
    </xf>
    <xf numFmtId="0" fontId="13" fillId="6" borderId="27" xfId="0" applyFont="1" applyFill="1" applyBorder="1" applyAlignment="1">
      <alignment horizontal="center" vertical="center"/>
    </xf>
    <xf numFmtId="0" fontId="13" fillId="6" borderId="28" xfId="0" applyFont="1" applyFill="1" applyBorder="1" applyAlignment="1">
      <alignment horizontal="center" vertical="center"/>
    </xf>
    <xf numFmtId="0" fontId="13" fillId="6" borderId="10" xfId="0" applyFont="1" applyFill="1" applyBorder="1" applyAlignment="1">
      <alignment horizontal="center" vertical="center"/>
    </xf>
    <xf numFmtId="0" fontId="13" fillId="6" borderId="26" xfId="0" applyFont="1" applyFill="1" applyBorder="1" applyAlignment="1">
      <alignment horizontal="center" vertical="center"/>
    </xf>
    <xf numFmtId="0" fontId="13" fillId="6" borderId="29" xfId="0" applyFont="1" applyFill="1" applyBorder="1" applyAlignment="1">
      <alignment horizontal="center" vertical="center"/>
    </xf>
    <xf numFmtId="0" fontId="13" fillId="6" borderId="30" xfId="0" applyFont="1" applyFill="1" applyBorder="1" applyAlignment="1">
      <alignment horizontal="center" vertical="center"/>
    </xf>
    <xf numFmtId="0" fontId="16" fillId="7" borderId="16" xfId="0" applyFont="1" applyFill="1" applyBorder="1" applyAlignment="1">
      <alignment horizontal="center" vertical="center"/>
    </xf>
    <xf numFmtId="0" fontId="16" fillId="7" borderId="12" xfId="0" applyFont="1" applyFill="1" applyBorder="1" applyAlignment="1">
      <alignment horizontal="center" vertical="center"/>
    </xf>
    <xf numFmtId="0" fontId="16" fillId="7" borderId="17" xfId="0" applyFont="1" applyFill="1" applyBorder="1" applyAlignment="1">
      <alignment horizontal="center" vertical="center"/>
    </xf>
    <xf numFmtId="0" fontId="16" fillId="7" borderId="18" xfId="0" applyFont="1" applyFill="1" applyBorder="1" applyAlignment="1">
      <alignment horizontal="center" vertical="center"/>
    </xf>
    <xf numFmtId="0" fontId="16" fillId="7" borderId="11" xfId="0" applyFont="1" applyFill="1" applyBorder="1" applyAlignment="1">
      <alignment horizontal="center" vertical="center"/>
    </xf>
    <xf numFmtId="0" fontId="16" fillId="7" borderId="19" xfId="0" applyFont="1" applyFill="1" applyBorder="1" applyAlignment="1">
      <alignment horizontal="center" vertical="center"/>
    </xf>
    <xf numFmtId="0" fontId="18" fillId="7" borderId="20" xfId="0" applyFont="1" applyFill="1" applyBorder="1" applyAlignment="1">
      <alignment horizontal="center" vertical="center"/>
    </xf>
    <xf numFmtId="0" fontId="18" fillId="7" borderId="21" xfId="0" applyFont="1" applyFill="1" applyBorder="1" applyAlignment="1">
      <alignment horizontal="center" vertical="center"/>
    </xf>
    <xf numFmtId="0" fontId="18" fillId="7" borderId="22" xfId="0" applyFont="1" applyFill="1" applyBorder="1" applyAlignment="1">
      <alignment horizontal="center" vertical="center"/>
    </xf>
    <xf numFmtId="0" fontId="18" fillId="7" borderId="15" xfId="0" applyFont="1" applyFill="1" applyBorder="1" applyAlignment="1">
      <alignment horizontal="center" vertical="center"/>
    </xf>
    <xf numFmtId="0" fontId="18" fillId="7" borderId="13" xfId="0" applyFont="1" applyFill="1" applyBorder="1" applyAlignment="1">
      <alignment horizontal="center" vertical="center"/>
    </xf>
    <xf numFmtId="0" fontId="18" fillId="7" borderId="14" xfId="0" applyFont="1" applyFill="1" applyBorder="1" applyAlignment="1">
      <alignment horizontal="center" vertical="center"/>
    </xf>
    <xf numFmtId="2" fontId="15" fillId="7" borderId="20" xfId="0" applyNumberFormat="1" applyFont="1" applyFill="1" applyBorder="1" applyAlignment="1">
      <alignment horizontal="center" vertical="center"/>
    </xf>
    <xf numFmtId="2" fontId="15" fillId="7" borderId="21" xfId="0" applyNumberFormat="1" applyFont="1" applyFill="1" applyBorder="1" applyAlignment="1">
      <alignment horizontal="center" vertical="center"/>
    </xf>
    <xf numFmtId="2" fontId="15" fillId="7" borderId="22" xfId="0" applyNumberFormat="1" applyFont="1" applyFill="1" applyBorder="1" applyAlignment="1">
      <alignment horizontal="center" vertical="center"/>
    </xf>
    <xf numFmtId="2" fontId="15" fillId="7" borderId="15" xfId="0" applyNumberFormat="1" applyFont="1" applyFill="1" applyBorder="1" applyAlignment="1">
      <alignment horizontal="center" vertical="center"/>
    </xf>
    <xf numFmtId="2" fontId="15" fillId="7" borderId="13" xfId="0" applyNumberFormat="1" applyFont="1" applyFill="1" applyBorder="1" applyAlignment="1">
      <alignment horizontal="center" vertical="center"/>
    </xf>
    <xf numFmtId="2" fontId="15" fillId="7" borderId="14" xfId="0" applyNumberFormat="1" applyFont="1" applyFill="1" applyBorder="1" applyAlignment="1">
      <alignment horizontal="center" vertical="center"/>
    </xf>
    <xf numFmtId="0" fontId="16" fillId="7" borderId="23" xfId="0" applyFont="1" applyFill="1" applyBorder="1" applyAlignment="1">
      <alignment horizontal="center" vertical="center"/>
    </xf>
    <xf numFmtId="0" fontId="16" fillId="7" borderId="24" xfId="0" applyFont="1" applyFill="1" applyBorder="1" applyAlignment="1">
      <alignment horizontal="center" vertical="center"/>
    </xf>
    <xf numFmtId="0" fontId="16" fillId="7" borderId="25" xfId="0" applyFont="1" applyFill="1" applyBorder="1" applyAlignment="1">
      <alignment horizontal="center" vertical="center"/>
    </xf>
    <xf numFmtId="0" fontId="16" fillId="7" borderId="31" xfId="0" applyFont="1" applyFill="1" applyBorder="1" applyAlignment="1">
      <alignment horizontal="center" vertical="center"/>
    </xf>
    <xf numFmtId="0" fontId="16" fillId="7" borderId="32" xfId="0" applyFont="1" applyFill="1" applyBorder="1" applyAlignment="1">
      <alignment horizontal="center" vertical="center"/>
    </xf>
    <xf numFmtId="0" fontId="16" fillId="7" borderId="33" xfId="0" applyFont="1" applyFill="1" applyBorder="1" applyAlignment="1">
      <alignment horizontal="center" vertical="center"/>
    </xf>
    <xf numFmtId="0" fontId="16" fillId="7" borderId="34" xfId="0" applyFont="1" applyFill="1" applyBorder="1" applyAlignment="1">
      <alignment horizontal="center" vertical="center"/>
    </xf>
    <xf numFmtId="0" fontId="16" fillId="7" borderId="35" xfId="0" applyFont="1" applyFill="1" applyBorder="1" applyAlignment="1">
      <alignment horizontal="center" vertical="center"/>
    </xf>
    <xf numFmtId="0" fontId="16" fillId="7" borderId="36" xfId="0" applyFont="1" applyFill="1" applyBorder="1" applyAlignment="1">
      <alignment horizontal="center" vertical="center"/>
    </xf>
    <xf numFmtId="165" fontId="15" fillId="7" borderId="16" xfId="1" applyNumberFormat="1" applyFont="1" applyFill="1" applyBorder="1" applyAlignment="1">
      <alignment horizontal="center" vertical="center"/>
    </xf>
    <xf numFmtId="165" fontId="15" fillId="7" borderId="12" xfId="1" applyNumberFormat="1" applyFont="1" applyFill="1" applyBorder="1" applyAlignment="1">
      <alignment horizontal="center" vertical="center"/>
    </xf>
    <xf numFmtId="165" fontId="15" fillId="7" borderId="17" xfId="1" applyNumberFormat="1" applyFont="1" applyFill="1" applyBorder="1" applyAlignment="1">
      <alignment horizontal="center" vertical="center"/>
    </xf>
    <xf numFmtId="165" fontId="15" fillId="7" borderId="15" xfId="1" applyNumberFormat="1" applyFont="1" applyFill="1" applyBorder="1" applyAlignment="1">
      <alignment horizontal="center" vertical="center"/>
    </xf>
    <xf numFmtId="165" fontId="15" fillId="7" borderId="13" xfId="1" applyNumberFormat="1" applyFont="1" applyFill="1" applyBorder="1" applyAlignment="1">
      <alignment horizontal="center" vertical="center"/>
    </xf>
    <xf numFmtId="165" fontId="15" fillId="7" borderId="14" xfId="1" applyNumberFormat="1" applyFont="1" applyFill="1" applyBorder="1" applyAlignment="1">
      <alignment horizontal="center" vertical="center"/>
    </xf>
    <xf numFmtId="165" fontId="18" fillId="7" borderId="16" xfId="1" applyNumberFormat="1" applyFont="1" applyFill="1" applyBorder="1" applyAlignment="1">
      <alignment horizontal="center" vertical="center"/>
    </xf>
    <xf numFmtId="165" fontId="18" fillId="7" borderId="12" xfId="1" applyNumberFormat="1" applyFont="1" applyFill="1" applyBorder="1" applyAlignment="1">
      <alignment horizontal="center" vertical="center"/>
    </xf>
    <xf numFmtId="165" fontId="18" fillId="7" borderId="17" xfId="1" applyNumberFormat="1" applyFont="1" applyFill="1" applyBorder="1" applyAlignment="1">
      <alignment horizontal="center" vertical="center"/>
    </xf>
    <xf numFmtId="165" fontId="18" fillId="7" borderId="15" xfId="1" applyNumberFormat="1" applyFont="1" applyFill="1" applyBorder="1" applyAlignment="1">
      <alignment horizontal="center" vertical="center"/>
    </xf>
    <xf numFmtId="165" fontId="18" fillId="7" borderId="13" xfId="1" applyNumberFormat="1" applyFont="1" applyFill="1" applyBorder="1" applyAlignment="1">
      <alignment horizontal="center" vertical="center"/>
    </xf>
    <xf numFmtId="165" fontId="18" fillId="7" borderId="14" xfId="1" applyNumberFormat="1" applyFont="1" applyFill="1" applyBorder="1" applyAlignment="1">
      <alignment horizontal="center" vertical="center"/>
    </xf>
    <xf numFmtId="14" fontId="0" fillId="0" borderId="0" xfId="0" pivotButton="1" applyNumberFormat="1" applyAlignment="1">
      <alignment horizontal="left"/>
    </xf>
    <xf numFmtId="0" fontId="0" fillId="0" borderId="0" xfId="0" pivotButton="1" applyNumberFormat="1"/>
  </cellXfs>
  <cellStyles count="2">
    <cellStyle name="Normal" xfId="0" builtinId="0"/>
    <cellStyle name="Percent" xfId="1" builtinId="5"/>
  </cellStyles>
  <dxfs count="27">
    <dxf>
      <numFmt numFmtId="2" formatCode="0.00"/>
    </dxf>
    <dxf>
      <numFmt numFmtId="1" formatCode="0"/>
    </dxf>
    <dxf>
      <numFmt numFmtId="164" formatCode="0.0"/>
    </dxf>
    <dxf>
      <numFmt numFmtId="2" formatCode="0.00"/>
    </dxf>
    <dxf>
      <numFmt numFmtId="1" formatCode="0"/>
    </dxf>
    <dxf>
      <numFmt numFmtId="164" formatCode="0.0"/>
    </dxf>
    <dxf>
      <font>
        <name val="Book Antiqua"/>
        <family val="1"/>
        <scheme val="none"/>
      </font>
    </dxf>
    <dxf>
      <font>
        <name val="Book Antiqua"/>
        <family val="1"/>
        <scheme val="none"/>
      </font>
    </dxf>
    <dxf>
      <font>
        <name val="Book Antiqua"/>
        <family val="1"/>
        <scheme val="none"/>
      </font>
    </dxf>
    <dxf>
      <font>
        <name val="Book Antiqua"/>
        <family val="1"/>
        <scheme val="none"/>
      </font>
    </dxf>
    <dxf>
      <font>
        <name val="Book Antiqua"/>
        <family val="1"/>
        <scheme val="none"/>
      </font>
    </dxf>
    <dxf>
      <font>
        <name val="Book Antiqua"/>
        <family val="1"/>
        <scheme val="none"/>
      </font>
    </dxf>
    <dxf>
      <numFmt numFmtId="13" formatCode="0%"/>
    </dxf>
    <dxf>
      <numFmt numFmtId="2" formatCode="0.00"/>
    </dxf>
    <dxf>
      <numFmt numFmtId="1" formatCode="0"/>
    </dxf>
    <dxf>
      <numFmt numFmtId="1" formatCode="0"/>
    </dxf>
    <dxf>
      <numFmt numFmtId="1" formatCode="0"/>
    </dxf>
    <dxf>
      <numFmt numFmtId="2" formatCode="0.00"/>
    </dxf>
    <dxf>
      <numFmt numFmtId="1" formatCode="0"/>
    </dxf>
    <dxf>
      <numFmt numFmtId="1" formatCode="0"/>
    </dxf>
    <dxf>
      <numFmt numFmtId="164" formatCode="0.0"/>
    </dxf>
    <dxf>
      <numFmt numFmtId="2" formatCode="0.00"/>
    </dxf>
    <dxf>
      <numFmt numFmtId="164" formatCode="0.0"/>
    </dxf>
    <dxf>
      <numFmt numFmtId="1" formatCode="0"/>
    </dxf>
    <dxf>
      <numFmt numFmtId="2" formatCode="0.00"/>
    </dxf>
    <dxf>
      <numFmt numFmtId="2" formatCode="0.00"/>
    </dxf>
    <dxf>
      <numFmt numFmtId="13" formatCode="0%"/>
    </dxf>
  </dxfs>
  <tableStyles count="0" defaultTableStyle="TableStyleMedium2" defaultPivotStyle="PivotStyleLight16"/>
  <colors>
    <mruColors>
      <color rgb="FFFCC6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[Call-Center-Sentiment-Sample-Data.xlsx]Analysis!Sentiment Group</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Customer Sentiment Distribution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PK"/>
        </a:p>
      </c:txPr>
    </c:title>
    <c:autoTitleDeleted val="0"/>
    <c:pivotFmts>
      <c:pivotFmt>
        <c:idx val="0"/>
      </c:pivotFmt>
      <c:pivotFmt>
        <c:idx val="1"/>
      </c:pivotFmt>
      <c:pivotFmt>
        <c:idx val="2"/>
      </c:pivotFmt>
      <c:pivotFmt>
        <c:idx val="3"/>
      </c:pivotFmt>
      <c:pivotFmt>
        <c:idx val="4"/>
      </c:pivotFmt>
      <c:pivotFmt>
        <c:idx val="5"/>
        <c:spPr>
          <a:solidFill>
            <a:schemeClr val="accent6"/>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PK"/>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6"/>
          </a:solidFill>
          <a:ln>
            <a:noFill/>
          </a:ln>
          <a:effectLst>
            <a:outerShdw blurRad="254000" sx="102000" sy="102000" algn="ctr" rotWithShape="0">
              <a:prstClr val="black">
                <a:alpha val="20000"/>
              </a:prstClr>
            </a:outerShdw>
          </a:effectLst>
        </c:spPr>
      </c:pivotFmt>
      <c:pivotFmt>
        <c:idx val="7"/>
        <c:spPr>
          <a:solidFill>
            <a:schemeClr val="accent6"/>
          </a:solidFill>
          <a:ln>
            <a:noFill/>
          </a:ln>
          <a:effectLst>
            <a:outerShdw blurRad="254000" sx="102000" sy="102000" algn="ctr" rotWithShape="0">
              <a:prstClr val="black">
                <a:alpha val="20000"/>
              </a:prstClr>
            </a:outerShdw>
          </a:effectLst>
        </c:spPr>
      </c:pivotFmt>
      <c:pivotFmt>
        <c:idx val="8"/>
        <c:spPr>
          <a:solidFill>
            <a:schemeClr val="accent6"/>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Analysis!$B$6</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274-42A8-BD53-CC5BB65B135B}"/>
              </c:ext>
            </c:extLst>
          </c:dPt>
          <c:dPt>
            <c:idx val="1"/>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274-42A8-BD53-CC5BB65B135B}"/>
              </c:ext>
            </c:extLst>
          </c:dPt>
          <c:dPt>
            <c:idx val="2"/>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8274-42A8-BD53-CC5BB65B135B}"/>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PK"/>
              </a:p>
            </c:txP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Analysis!$A$7:$A$10</c:f>
              <c:strCache>
                <c:ptCount val="3"/>
                <c:pt idx="0">
                  <c:v>Negative</c:v>
                </c:pt>
                <c:pt idx="1">
                  <c:v>Neutral</c:v>
                </c:pt>
                <c:pt idx="2">
                  <c:v>Positive</c:v>
                </c:pt>
              </c:strCache>
            </c:strRef>
          </c:cat>
          <c:val>
            <c:numRef>
              <c:f>Analysis!$B$7:$B$10</c:f>
              <c:numCache>
                <c:formatCode>0%</c:formatCode>
                <c:ptCount val="3"/>
                <c:pt idx="0">
                  <c:v>0.62857142857142856</c:v>
                </c:pt>
                <c:pt idx="1">
                  <c:v>0.12857142857142856</c:v>
                </c:pt>
                <c:pt idx="2">
                  <c:v>0.24285714285714285</c:v>
                </c:pt>
              </c:numCache>
            </c:numRef>
          </c:val>
          <c:extLst>
            <c:ext xmlns:c16="http://schemas.microsoft.com/office/drawing/2014/chart" uri="{C3380CC4-5D6E-409C-BE32-E72D297353CC}">
              <c16:uniqueId val="{00000006-8274-42A8-BD53-CC5BB65B135B}"/>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2">
          <a:lumMod val="75000"/>
          <a:lumOff val="2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CSAT by Channel</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PK"/>
        </a:p>
      </c:txPr>
    </c:title>
    <c:autoTitleDeleted val="0"/>
    <c:pivotFmts>
      <c:pivotFmt>
        <c:idx val="0"/>
      </c:pivotFmt>
      <c:pivotFmt>
        <c:idx val="1"/>
      </c:pivotFmt>
      <c:pivotFmt>
        <c:idx val="2"/>
        <c:spPr>
          <a:solidFill>
            <a:schemeClr val="accent4">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4">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4"/>
              <c:pt idx="0">
                <c:v>Call-Center</c:v>
              </c:pt>
              <c:pt idx="1">
                <c:v>Chatbot</c:v>
              </c:pt>
              <c:pt idx="2">
                <c:v>Email</c:v>
              </c:pt>
              <c:pt idx="3">
                <c:v>Web</c:v>
              </c:pt>
            </c:strLit>
          </c:cat>
          <c:val>
            <c:numLit>
              <c:formatCode>General</c:formatCode>
              <c:ptCount val="4"/>
              <c:pt idx="0">
                <c:v>5.6956521739130439</c:v>
              </c:pt>
              <c:pt idx="1">
                <c:v>4.8181818181818183</c:v>
              </c:pt>
              <c:pt idx="2">
                <c:v>5.5</c:v>
              </c:pt>
              <c:pt idx="3">
                <c:v>5.4117647058823533</c:v>
              </c:pt>
            </c:numLit>
          </c:val>
          <c:extLst>
            <c:ext xmlns:c16="http://schemas.microsoft.com/office/drawing/2014/chart" uri="{C3380CC4-5D6E-409C-BE32-E72D297353CC}">
              <c16:uniqueId val="{00000000-71C0-4D37-8272-EB269791552E}"/>
            </c:ext>
          </c:extLst>
        </c:ser>
        <c:dLbls>
          <c:dLblPos val="inEnd"/>
          <c:showLegendKey val="0"/>
          <c:showVal val="1"/>
          <c:showCatName val="0"/>
          <c:showSerName val="0"/>
          <c:showPercent val="0"/>
          <c:showBubbleSize val="0"/>
        </c:dLbls>
        <c:gapWidth val="65"/>
        <c:axId val="1232017743"/>
        <c:axId val="1105748975"/>
      </c:barChart>
      <c:catAx>
        <c:axId val="123201774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Channel</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PK"/>
          </a:p>
        </c:txPr>
        <c:crossAx val="1105748975"/>
        <c:crosses val="autoZero"/>
        <c:auto val="1"/>
        <c:lblAlgn val="ctr"/>
        <c:lblOffset val="100"/>
        <c:noMultiLvlLbl val="0"/>
      </c:catAx>
      <c:valAx>
        <c:axId val="1105748975"/>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Average CSAT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General" sourceLinked="1"/>
        <c:majorTickMark val="none"/>
        <c:minorTickMark val="none"/>
        <c:tickLblPos val="nextTo"/>
        <c:crossAx val="12320177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4">
          <a:lumMod val="75000"/>
        </a:schemeClr>
      </a:solidFill>
      <a:round/>
    </a:ln>
    <a:effectLst/>
  </c:spPr>
  <c:txPr>
    <a:bodyPr/>
    <a:lstStyle/>
    <a:p>
      <a:pPr>
        <a:defRPr/>
      </a:pPr>
      <a:endParaRPr lang="en-PK"/>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[Call-Center-Sentiment-Sample-Data.xlsx]Analysis!Call Center Performance</c:name>
    <c:fmtId val="1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CSAT by Call Center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PK"/>
        </a:p>
      </c:txPr>
    </c:title>
    <c:autoTitleDeleted val="0"/>
    <c:pivotFmts>
      <c:pivotFmt>
        <c:idx val="0"/>
      </c:pivotFmt>
      <c:pivotFmt>
        <c:idx val="1"/>
      </c:pivotFmt>
      <c:pivotFmt>
        <c:idx val="2"/>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Analysis!$B$20</c:f>
              <c:strCache>
                <c:ptCount val="1"/>
                <c:pt idx="0">
                  <c:v>Total</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Analysis!$A$21:$A$25</c:f>
              <c:strCache>
                <c:ptCount val="4"/>
                <c:pt idx="0">
                  <c:v>Los Angeles/CA</c:v>
                </c:pt>
                <c:pt idx="1">
                  <c:v>Baltimore/MD</c:v>
                </c:pt>
                <c:pt idx="2">
                  <c:v>Chicago/IL</c:v>
                </c:pt>
                <c:pt idx="3">
                  <c:v>Denver/CO</c:v>
                </c:pt>
              </c:strCache>
            </c:strRef>
          </c:cat>
          <c:val>
            <c:numRef>
              <c:f>Analysis!$B$21:$B$25</c:f>
              <c:numCache>
                <c:formatCode>0.00</c:formatCode>
                <c:ptCount val="4"/>
                <c:pt idx="0">
                  <c:v>6</c:v>
                </c:pt>
                <c:pt idx="1">
                  <c:v>5.1481481481481479</c:v>
                </c:pt>
                <c:pt idx="2">
                  <c:v>4.7142857142857144</c:v>
                </c:pt>
                <c:pt idx="3">
                  <c:v>3.5</c:v>
                </c:pt>
              </c:numCache>
            </c:numRef>
          </c:val>
          <c:extLst>
            <c:ext xmlns:c16="http://schemas.microsoft.com/office/drawing/2014/chart" uri="{C3380CC4-5D6E-409C-BE32-E72D297353CC}">
              <c16:uniqueId val="{00000000-EA38-4841-A93F-8D1E30ED3B99}"/>
            </c:ext>
          </c:extLst>
        </c:ser>
        <c:dLbls>
          <c:dLblPos val="inEnd"/>
          <c:showLegendKey val="0"/>
          <c:showVal val="1"/>
          <c:showCatName val="0"/>
          <c:showSerName val="0"/>
          <c:showPercent val="0"/>
          <c:showBubbleSize val="0"/>
        </c:dLbls>
        <c:gapWidth val="65"/>
        <c:axId val="1338643455"/>
        <c:axId val="1348365119"/>
      </c:barChart>
      <c:catAx>
        <c:axId val="133864345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Call Center</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PK"/>
          </a:p>
        </c:txPr>
        <c:crossAx val="1348365119"/>
        <c:crosses val="autoZero"/>
        <c:auto val="1"/>
        <c:lblAlgn val="ctr"/>
        <c:lblOffset val="100"/>
        <c:noMultiLvlLbl val="0"/>
      </c:catAx>
      <c:valAx>
        <c:axId val="134836511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Average CSAT</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PK"/>
          </a:p>
        </c:txPr>
        <c:crossAx val="13386434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6">
          <a:lumMod val="7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SLA Status VS Average CSAT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PK"/>
        </a:p>
      </c:txPr>
    </c:title>
    <c:autoTitleDeleted val="0"/>
    <c:pivotFmts>
      <c:pivotFmt>
        <c:idx val="0"/>
      </c:pivotFmt>
      <c:pivotFmt>
        <c:idx val="1"/>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Calls</c:v>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2"/>
              <c:pt idx="0">
                <c:v>Above SLA</c:v>
              </c:pt>
              <c:pt idx="1">
                <c:v>Within SLA</c:v>
              </c:pt>
            </c:strLit>
          </c:cat>
          <c:val>
            <c:numLit>
              <c:formatCode>General</c:formatCode>
              <c:ptCount val="2"/>
              <c:pt idx="0">
                <c:v>17</c:v>
              </c:pt>
              <c:pt idx="1">
                <c:v>53</c:v>
              </c:pt>
            </c:numLit>
          </c:val>
          <c:extLst>
            <c:ext xmlns:c16="http://schemas.microsoft.com/office/drawing/2014/chart" uri="{C3380CC4-5D6E-409C-BE32-E72D297353CC}">
              <c16:uniqueId val="{00000000-16F8-466B-A365-89AACCA34C6E}"/>
            </c:ext>
          </c:extLst>
        </c:ser>
        <c:ser>
          <c:idx val="1"/>
          <c:order val="1"/>
          <c:tx>
            <c:v>Avg CSAT</c:v>
          </c:tx>
          <c:spPr>
            <a:solidFill>
              <a:schemeClr val="accent3">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2"/>
              <c:pt idx="0">
                <c:v>Above SLA</c:v>
              </c:pt>
              <c:pt idx="1">
                <c:v>Within SLA</c:v>
              </c:pt>
            </c:strLit>
          </c:cat>
          <c:val>
            <c:numLit>
              <c:formatCode>General</c:formatCode>
              <c:ptCount val="2"/>
              <c:pt idx="0">
                <c:v>4.5882352941176467</c:v>
              </c:pt>
              <c:pt idx="1">
                <c:v>5.5660377358490569</c:v>
              </c:pt>
            </c:numLit>
          </c:val>
          <c:extLst>
            <c:ext xmlns:c16="http://schemas.microsoft.com/office/drawing/2014/chart" uri="{C3380CC4-5D6E-409C-BE32-E72D297353CC}">
              <c16:uniqueId val="{00000001-16F8-466B-A365-89AACCA34C6E}"/>
            </c:ext>
          </c:extLst>
        </c:ser>
        <c:dLbls>
          <c:dLblPos val="inEnd"/>
          <c:showLegendKey val="0"/>
          <c:showVal val="1"/>
          <c:showCatName val="0"/>
          <c:showSerName val="0"/>
          <c:showPercent val="0"/>
          <c:showBubbleSize val="0"/>
        </c:dLbls>
        <c:gapWidth val="65"/>
        <c:axId val="1341092079"/>
        <c:axId val="1348358879"/>
      </c:barChart>
      <c:catAx>
        <c:axId val="134109207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SLA Status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PK"/>
          </a:p>
        </c:txPr>
        <c:crossAx val="1348358879"/>
        <c:crosses val="autoZero"/>
        <c:auto val="1"/>
        <c:lblAlgn val="ctr"/>
        <c:lblOffset val="100"/>
        <c:noMultiLvlLbl val="0"/>
      </c:catAx>
      <c:valAx>
        <c:axId val="13483588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 Average CSAT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General" sourceLinked="1"/>
        <c:majorTickMark val="none"/>
        <c:minorTickMark val="none"/>
        <c:tickLblPos val="nextTo"/>
        <c:crossAx val="1341092079"/>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tx2">
          <a:lumMod val="75000"/>
          <a:lumOff val="25000"/>
        </a:schemeClr>
      </a:solidFill>
      <a:round/>
    </a:ln>
    <a:effectLst/>
  </c:spPr>
  <c:txPr>
    <a:bodyPr/>
    <a:lstStyle/>
    <a:p>
      <a:pPr>
        <a:defRPr/>
      </a:pPr>
      <a:endParaRPr lang="en-PK"/>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[Call-Center-Sentiment-Sample-Data.xlsx]Analysis!Calls &amp; CSAT by Reason</c:name>
    <c:fmtId val="2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Calls by Reason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PK"/>
        </a:p>
      </c:txPr>
    </c:title>
    <c:autoTitleDeleted val="0"/>
    <c:pivotFmts>
      <c:pivotFmt>
        <c:idx val="0"/>
      </c:pivotFmt>
      <c:pivotFmt>
        <c:idx val="1"/>
      </c:pivotFmt>
      <c:pivotFmt>
        <c:idx val="2"/>
      </c:pivotFmt>
      <c:pivotFmt>
        <c:idx val="3"/>
      </c:pivotFmt>
      <c:pivotFmt>
        <c:idx val="4"/>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Analysis!$E$6</c:f>
              <c:strCache>
                <c:ptCount val="1"/>
                <c:pt idx="0">
                  <c:v>Calls</c:v>
                </c:pt>
              </c:strCache>
            </c:strRef>
          </c:tx>
          <c:spPr>
            <a:solidFill>
              <a:schemeClr val="accent3">
                <a:shade val="76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Analysis!$D$7:$D$10</c:f>
              <c:strCache>
                <c:ptCount val="3"/>
                <c:pt idx="0">
                  <c:v>Service Outage</c:v>
                </c:pt>
                <c:pt idx="1">
                  <c:v>Billing Question</c:v>
                </c:pt>
                <c:pt idx="2">
                  <c:v>Payments</c:v>
                </c:pt>
              </c:strCache>
            </c:strRef>
          </c:cat>
          <c:val>
            <c:numRef>
              <c:f>Analysis!$E$7:$E$10</c:f>
              <c:numCache>
                <c:formatCode>0</c:formatCode>
                <c:ptCount val="3"/>
                <c:pt idx="0">
                  <c:v>8</c:v>
                </c:pt>
                <c:pt idx="1">
                  <c:v>50</c:v>
                </c:pt>
                <c:pt idx="2">
                  <c:v>12</c:v>
                </c:pt>
              </c:numCache>
            </c:numRef>
          </c:val>
          <c:extLst>
            <c:ext xmlns:c16="http://schemas.microsoft.com/office/drawing/2014/chart" uri="{C3380CC4-5D6E-409C-BE32-E72D297353CC}">
              <c16:uniqueId val="{00000000-E476-4C3A-9841-9C3422AD5FCE}"/>
            </c:ext>
          </c:extLst>
        </c:ser>
        <c:ser>
          <c:idx val="1"/>
          <c:order val="1"/>
          <c:tx>
            <c:strRef>
              <c:f>Analysis!$F$6</c:f>
              <c:strCache>
                <c:ptCount val="1"/>
                <c:pt idx="0">
                  <c:v>Avg Duration</c:v>
                </c:pt>
              </c:strCache>
            </c:strRef>
          </c:tx>
          <c:spPr>
            <a:solidFill>
              <a:schemeClr val="accent3">
                <a:tint val="77000"/>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PK"/>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Analysis!$D$7:$D$10</c:f>
              <c:strCache>
                <c:ptCount val="3"/>
                <c:pt idx="0">
                  <c:v>Service Outage</c:v>
                </c:pt>
                <c:pt idx="1">
                  <c:v>Billing Question</c:v>
                </c:pt>
                <c:pt idx="2">
                  <c:v>Payments</c:v>
                </c:pt>
              </c:strCache>
            </c:strRef>
          </c:cat>
          <c:val>
            <c:numRef>
              <c:f>Analysis!$F$7:$F$10</c:f>
              <c:numCache>
                <c:formatCode>0.0</c:formatCode>
                <c:ptCount val="3"/>
                <c:pt idx="0">
                  <c:v>31.625</c:v>
                </c:pt>
                <c:pt idx="1">
                  <c:v>26.98</c:v>
                </c:pt>
                <c:pt idx="2">
                  <c:v>19.666666666666668</c:v>
                </c:pt>
              </c:numCache>
            </c:numRef>
          </c:val>
          <c:extLst>
            <c:ext xmlns:c16="http://schemas.microsoft.com/office/drawing/2014/chart" uri="{C3380CC4-5D6E-409C-BE32-E72D297353CC}">
              <c16:uniqueId val="{00000001-E476-4C3A-9841-9C3422AD5FCE}"/>
            </c:ext>
          </c:extLst>
        </c:ser>
        <c:dLbls>
          <c:dLblPos val="inEnd"/>
          <c:showLegendKey val="0"/>
          <c:showVal val="1"/>
          <c:showCatName val="0"/>
          <c:showSerName val="0"/>
          <c:showPercent val="0"/>
          <c:showBubbleSize val="0"/>
        </c:dLbls>
        <c:gapWidth val="65"/>
        <c:axId val="1335666991"/>
        <c:axId val="840955455"/>
      </c:barChart>
      <c:catAx>
        <c:axId val="1335666991"/>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Reason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PK"/>
          </a:p>
        </c:txPr>
        <c:crossAx val="840955455"/>
        <c:crosses val="autoZero"/>
        <c:auto val="1"/>
        <c:lblAlgn val="ctr"/>
        <c:lblOffset val="100"/>
        <c:noMultiLvlLbl val="0"/>
      </c:catAx>
      <c:valAx>
        <c:axId val="840955455"/>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US"/>
                  <a:t>Calls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PK"/>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PK"/>
          </a:p>
        </c:txPr>
        <c:crossAx val="1335666991"/>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3">
          <a:lumMod val="7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15</xdr:col>
      <xdr:colOff>182563</xdr:colOff>
      <xdr:row>9</xdr:row>
      <xdr:rowOff>1</xdr:rowOff>
    </xdr:from>
    <xdr:to>
      <xdr:col>22</xdr:col>
      <xdr:colOff>689429</xdr:colOff>
      <xdr:row>24</xdr:row>
      <xdr:rowOff>23813</xdr:rowOff>
    </xdr:to>
    <xdr:graphicFrame macro="">
      <xdr:nvGraphicFramePr>
        <xdr:cNvPr id="8" name="Chart 7">
          <a:extLst>
            <a:ext uri="{FF2B5EF4-FFF2-40B4-BE49-F238E27FC236}">
              <a16:creationId xmlns:a16="http://schemas.microsoft.com/office/drawing/2014/main" id="{361DE1EA-F8AA-4980-B6B2-FDC372CFA7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261936</xdr:colOff>
      <xdr:row>9</xdr:row>
      <xdr:rowOff>10583</xdr:rowOff>
    </xdr:from>
    <xdr:to>
      <xdr:col>15</xdr:col>
      <xdr:colOff>190499</xdr:colOff>
      <xdr:row>24</xdr:row>
      <xdr:rowOff>23812</xdr:rowOff>
    </xdr:to>
    <xdr:graphicFrame macro="">
      <xdr:nvGraphicFramePr>
        <xdr:cNvPr id="9" name="Chart 8">
          <a:extLst>
            <a:ext uri="{FF2B5EF4-FFF2-40B4-BE49-F238E27FC236}">
              <a16:creationId xmlns:a16="http://schemas.microsoft.com/office/drawing/2014/main" id="{45B13457-E290-4B65-B669-C752113DEE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234951</xdr:colOff>
      <xdr:row>24</xdr:row>
      <xdr:rowOff>23811</xdr:rowOff>
    </xdr:from>
    <xdr:to>
      <xdr:col>15</xdr:col>
      <xdr:colOff>174625</xdr:colOff>
      <xdr:row>40</xdr:row>
      <xdr:rowOff>90715</xdr:rowOff>
    </xdr:to>
    <xdr:graphicFrame macro="">
      <xdr:nvGraphicFramePr>
        <xdr:cNvPr id="11" name="Chart 10">
          <a:extLst>
            <a:ext uri="{FF2B5EF4-FFF2-40B4-BE49-F238E27FC236}">
              <a16:creationId xmlns:a16="http://schemas.microsoft.com/office/drawing/2014/main" id="{520F1138-453D-4744-9AF7-53BC34E499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6804</xdr:colOff>
      <xdr:row>24</xdr:row>
      <xdr:rowOff>18143</xdr:rowOff>
    </xdr:from>
    <xdr:to>
      <xdr:col>8</xdr:col>
      <xdr:colOff>272142</xdr:colOff>
      <xdr:row>40</xdr:row>
      <xdr:rowOff>90713</xdr:rowOff>
    </xdr:to>
    <xdr:graphicFrame macro="">
      <xdr:nvGraphicFramePr>
        <xdr:cNvPr id="12" name="Chart 11">
          <a:extLst>
            <a:ext uri="{FF2B5EF4-FFF2-40B4-BE49-F238E27FC236}">
              <a16:creationId xmlns:a16="http://schemas.microsoft.com/office/drawing/2014/main" id="{CEB2A4CA-A268-495B-832F-022CBD7A3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xdr:row>
      <xdr:rowOff>15875</xdr:rowOff>
    </xdr:from>
    <xdr:to>
      <xdr:col>1</xdr:col>
      <xdr:colOff>1190625</xdr:colOff>
      <xdr:row>11</xdr:row>
      <xdr:rowOff>103187</xdr:rowOff>
    </xdr:to>
    <mc:AlternateContent xmlns:mc="http://schemas.openxmlformats.org/markup-compatibility/2006" xmlns:a14="http://schemas.microsoft.com/office/drawing/2010/main">
      <mc:Choice Requires="a14">
        <xdr:graphicFrame macro="">
          <xdr:nvGraphicFramePr>
            <xdr:cNvPr id="21" name="Sentiment Group">
              <a:extLst>
                <a:ext uri="{FF2B5EF4-FFF2-40B4-BE49-F238E27FC236}">
                  <a16:creationId xmlns:a16="http://schemas.microsoft.com/office/drawing/2014/main" id="{0736F847-811D-42F7-A969-D075DDD88CA8}"/>
                </a:ext>
              </a:extLst>
            </xdr:cNvPr>
            <xdr:cNvGraphicFramePr/>
          </xdr:nvGraphicFramePr>
          <xdr:xfrm>
            <a:off x="0" y="0"/>
            <a:ext cx="0" cy="0"/>
          </xdr:xfrm>
          <a:graphic>
            <a:graphicData uri="http://schemas.microsoft.com/office/drawing/2010/slicer">
              <sle:slicer xmlns:sle="http://schemas.microsoft.com/office/drawing/2010/slicer" name="Sentiment Group"/>
            </a:graphicData>
          </a:graphic>
        </xdr:graphicFrame>
      </mc:Choice>
      <mc:Fallback xmlns="">
        <xdr:sp macro="" textlink="">
          <xdr:nvSpPr>
            <xdr:cNvPr id="0" name=""/>
            <xdr:cNvSpPr>
              <a:spLocks noTextEdit="1"/>
            </xdr:cNvSpPr>
          </xdr:nvSpPr>
          <xdr:spPr>
            <a:xfrm>
              <a:off x="0" y="961620"/>
              <a:ext cx="1798604" cy="122220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7937</xdr:colOff>
      <xdr:row>11</xdr:row>
      <xdr:rowOff>119063</xdr:rowOff>
    </xdr:from>
    <xdr:to>
      <xdr:col>1</xdr:col>
      <xdr:colOff>1190625</xdr:colOff>
      <xdr:row>19</xdr:row>
      <xdr:rowOff>90715</xdr:rowOff>
    </xdr:to>
    <mc:AlternateContent xmlns:mc="http://schemas.openxmlformats.org/markup-compatibility/2006">
      <mc:Choice xmlns:a14="http://schemas.microsoft.com/office/drawing/2010/main" Requires="a14">
        <xdr:graphicFrame macro="">
          <xdr:nvGraphicFramePr>
            <xdr:cNvPr id="22" name="Channel">
              <a:extLst>
                <a:ext uri="{FF2B5EF4-FFF2-40B4-BE49-F238E27FC236}">
                  <a16:creationId xmlns:a16="http://schemas.microsoft.com/office/drawing/2014/main" id="{B5B2FDF0-12A5-4663-A8FE-6EBA8AB2C1EA}"/>
                </a:ext>
              </a:extLst>
            </xdr:cNvPr>
            <xdr:cNvGraphicFramePr/>
          </xdr:nvGraphicFramePr>
          <xdr:xfrm>
            <a:off x="0" y="0"/>
            <a:ext cx="0" cy="0"/>
          </xdr:xfrm>
          <a:graphic>
            <a:graphicData uri="http://schemas.microsoft.com/office/drawing/2010/slicer">
              <sle:slicer xmlns:sle="http://schemas.microsoft.com/office/drawing/2010/slicer" name="Channel"/>
            </a:graphicData>
          </a:graphic>
        </xdr:graphicFrame>
      </mc:Choice>
      <mc:Fallback>
        <xdr:sp macro="" textlink="">
          <xdr:nvSpPr>
            <xdr:cNvPr id="0" name=""/>
            <xdr:cNvSpPr>
              <a:spLocks noTextEdit="1"/>
            </xdr:cNvSpPr>
          </xdr:nvSpPr>
          <xdr:spPr>
            <a:xfrm>
              <a:off x="7937" y="2140480"/>
              <a:ext cx="1796521" cy="1453318"/>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24</xdr:row>
      <xdr:rowOff>157617</xdr:rowOff>
    </xdr:from>
    <xdr:to>
      <xdr:col>1</xdr:col>
      <xdr:colOff>1198562</xdr:colOff>
      <xdr:row>31</xdr:row>
      <xdr:rowOff>62365</xdr:rowOff>
    </xdr:to>
    <mc:AlternateContent xmlns:mc="http://schemas.openxmlformats.org/markup-compatibility/2006">
      <mc:Choice xmlns:a14="http://schemas.microsoft.com/office/drawing/2010/main" Requires="a14">
        <xdr:graphicFrame macro="">
          <xdr:nvGraphicFramePr>
            <xdr:cNvPr id="23" name="Reason">
              <a:extLst>
                <a:ext uri="{FF2B5EF4-FFF2-40B4-BE49-F238E27FC236}">
                  <a16:creationId xmlns:a16="http://schemas.microsoft.com/office/drawing/2014/main" id="{A64F4C06-21C6-4FA4-A072-3260BA2A52D5}"/>
                </a:ext>
              </a:extLst>
            </xdr:cNvPr>
            <xdr:cNvGraphicFramePr/>
          </xdr:nvGraphicFramePr>
          <xdr:xfrm>
            <a:off x="0" y="0"/>
            <a:ext cx="0" cy="0"/>
          </xdr:xfrm>
          <a:graphic>
            <a:graphicData uri="http://schemas.microsoft.com/office/drawing/2010/slicer">
              <sle:slicer xmlns:sle="http://schemas.microsoft.com/office/drawing/2010/slicer" name="Reason"/>
            </a:graphicData>
          </a:graphic>
        </xdr:graphicFrame>
      </mc:Choice>
      <mc:Fallback>
        <xdr:sp macro="" textlink="">
          <xdr:nvSpPr>
            <xdr:cNvPr id="0" name=""/>
            <xdr:cNvSpPr>
              <a:spLocks noTextEdit="1"/>
            </xdr:cNvSpPr>
          </xdr:nvSpPr>
          <xdr:spPr>
            <a:xfrm>
              <a:off x="0" y="4560284"/>
              <a:ext cx="1812395" cy="1164164"/>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31</xdr:row>
      <xdr:rowOff>70305</xdr:rowOff>
    </xdr:from>
    <xdr:to>
      <xdr:col>1</xdr:col>
      <xdr:colOff>1190625</xdr:colOff>
      <xdr:row>40</xdr:row>
      <xdr:rowOff>63500</xdr:rowOff>
    </xdr:to>
    <mc:AlternateContent xmlns:mc="http://schemas.openxmlformats.org/markup-compatibility/2006">
      <mc:Choice xmlns:a14="http://schemas.microsoft.com/office/drawing/2010/main" Requires="a14">
        <xdr:graphicFrame macro="">
          <xdr:nvGraphicFramePr>
            <xdr:cNvPr id="24" name="Call Center">
              <a:extLst>
                <a:ext uri="{FF2B5EF4-FFF2-40B4-BE49-F238E27FC236}">
                  <a16:creationId xmlns:a16="http://schemas.microsoft.com/office/drawing/2014/main" id="{DE9386C6-6D3E-4D97-8318-9FD102EAA415}"/>
                </a:ext>
              </a:extLst>
            </xdr:cNvPr>
            <xdr:cNvGraphicFramePr/>
          </xdr:nvGraphicFramePr>
          <xdr:xfrm>
            <a:off x="0" y="0"/>
            <a:ext cx="0" cy="0"/>
          </xdr:xfrm>
          <a:graphic>
            <a:graphicData uri="http://schemas.microsoft.com/office/drawing/2010/slicer">
              <sle:slicer xmlns:sle="http://schemas.microsoft.com/office/drawing/2010/slicer" name="Call Center"/>
            </a:graphicData>
          </a:graphic>
        </xdr:graphicFrame>
      </mc:Choice>
      <mc:Fallback>
        <xdr:sp macro="" textlink="">
          <xdr:nvSpPr>
            <xdr:cNvPr id="0" name=""/>
            <xdr:cNvSpPr>
              <a:spLocks noTextEdit="1"/>
            </xdr:cNvSpPr>
          </xdr:nvSpPr>
          <xdr:spPr>
            <a:xfrm>
              <a:off x="0" y="5732388"/>
              <a:ext cx="1804458" cy="161244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19</xdr:row>
      <xdr:rowOff>115661</xdr:rowOff>
    </xdr:from>
    <xdr:to>
      <xdr:col>1</xdr:col>
      <xdr:colOff>1195917</xdr:colOff>
      <xdr:row>24</xdr:row>
      <xdr:rowOff>139474</xdr:rowOff>
    </xdr:to>
    <mc:AlternateContent xmlns:mc="http://schemas.openxmlformats.org/markup-compatibility/2006">
      <mc:Choice xmlns:a14="http://schemas.microsoft.com/office/drawing/2010/main" Requires="a14">
        <xdr:graphicFrame macro="">
          <xdr:nvGraphicFramePr>
            <xdr:cNvPr id="25" name="SLA Status">
              <a:extLst>
                <a:ext uri="{FF2B5EF4-FFF2-40B4-BE49-F238E27FC236}">
                  <a16:creationId xmlns:a16="http://schemas.microsoft.com/office/drawing/2014/main" id="{99FEFF21-0E73-4C13-9DF7-B722B894A290}"/>
                </a:ext>
              </a:extLst>
            </xdr:cNvPr>
            <xdr:cNvGraphicFramePr/>
          </xdr:nvGraphicFramePr>
          <xdr:xfrm>
            <a:off x="0" y="0"/>
            <a:ext cx="0" cy="0"/>
          </xdr:xfrm>
          <a:graphic>
            <a:graphicData uri="http://schemas.microsoft.com/office/drawing/2010/slicer">
              <sle:slicer xmlns:sle="http://schemas.microsoft.com/office/drawing/2010/slicer" name="SLA Status"/>
            </a:graphicData>
          </a:graphic>
        </xdr:graphicFrame>
      </mc:Choice>
      <mc:Fallback>
        <xdr:sp macro="" textlink="">
          <xdr:nvSpPr>
            <xdr:cNvPr id="0" name=""/>
            <xdr:cNvSpPr>
              <a:spLocks noTextEdit="1"/>
            </xdr:cNvSpPr>
          </xdr:nvSpPr>
          <xdr:spPr>
            <a:xfrm>
              <a:off x="0" y="3618744"/>
              <a:ext cx="1809750" cy="923397"/>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7936</xdr:colOff>
      <xdr:row>9</xdr:row>
      <xdr:rowOff>0</xdr:rowOff>
    </xdr:from>
    <xdr:to>
      <xdr:col>8</xdr:col>
      <xdr:colOff>264584</xdr:colOff>
      <xdr:row>24</xdr:row>
      <xdr:rowOff>25931</xdr:rowOff>
    </xdr:to>
    <xdr:graphicFrame macro="">
      <xdr:nvGraphicFramePr>
        <xdr:cNvPr id="26" name="Chart 25">
          <a:extLst>
            <a:ext uri="{FF2B5EF4-FFF2-40B4-BE49-F238E27FC236}">
              <a16:creationId xmlns:a16="http://schemas.microsoft.com/office/drawing/2014/main" id="{98E44517-7936-498C-A70D-9D95EC889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182561</xdr:colOff>
      <xdr:row>24</xdr:row>
      <xdr:rowOff>31953</xdr:rowOff>
    </xdr:from>
    <xdr:to>
      <xdr:col>22</xdr:col>
      <xdr:colOff>689428</xdr:colOff>
      <xdr:row>40</xdr:row>
      <xdr:rowOff>99786</xdr:rowOff>
    </xdr:to>
    <xdr:sp macro="" textlink="">
      <xdr:nvSpPr>
        <xdr:cNvPr id="2" name="TextBox 1">
          <a:extLst>
            <a:ext uri="{FF2B5EF4-FFF2-40B4-BE49-F238E27FC236}">
              <a16:creationId xmlns:a16="http://schemas.microsoft.com/office/drawing/2014/main" id="{B3F3AFA6-D92B-464C-B663-B51B1A0CD38F}"/>
            </a:ext>
          </a:extLst>
        </xdr:cNvPr>
        <xdr:cNvSpPr txBox="1"/>
      </xdr:nvSpPr>
      <xdr:spPr>
        <a:xfrm>
          <a:off x="12099394" y="4434620"/>
          <a:ext cx="4803701" cy="2946499"/>
        </a:xfrm>
        <a:prstGeom prst="round2DiagRect">
          <a:avLst/>
        </a:prstGeom>
        <a:gradFill flip="none" rotWithShape="1">
          <a:gsLst>
            <a:gs pos="0">
              <a:schemeClr val="bg1">
                <a:lumMod val="85000"/>
                <a:shade val="30000"/>
                <a:satMod val="115000"/>
              </a:schemeClr>
            </a:gs>
            <a:gs pos="50000">
              <a:schemeClr val="bg1">
                <a:lumMod val="85000"/>
                <a:shade val="67500"/>
                <a:satMod val="115000"/>
              </a:schemeClr>
            </a:gs>
            <a:gs pos="100000">
              <a:schemeClr val="bg1">
                <a:lumMod val="85000"/>
                <a:shade val="100000"/>
                <a:satMod val="115000"/>
              </a:schemeClr>
            </a:gs>
          </a:gsLst>
          <a:path path="circle">
            <a:fillToRect l="100000" b="100000"/>
          </a:path>
          <a:tileRect t="-100000" r="-100000"/>
        </a:grad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lvl="1" algn="l"/>
          <a:r>
            <a:rPr lang="en-US" sz="1400" b="1" i="1" u="sng">
              <a:latin typeface="Book Antiqua" panose="02040602050305030304" pitchFamily="18" charset="0"/>
            </a:rPr>
            <a:t>Insights</a:t>
          </a:r>
          <a:br>
            <a:rPr lang="en-US" sz="1100" b="1"/>
          </a:br>
          <a:r>
            <a:rPr lang="en-US" sz="1200" b="1">
              <a:latin typeface="Book Antiqua" panose="02040602050305030304" pitchFamily="18" charset="0"/>
            </a:rPr>
            <a:t>1. Negative sentiment is the dominant issue</a:t>
          </a:r>
          <a:br>
            <a:rPr lang="en-US" sz="1100">
              <a:latin typeface="Book Antiqua" panose="02040602050305030304" pitchFamily="18" charset="0"/>
            </a:rPr>
          </a:br>
          <a:r>
            <a:rPr lang="en-US" sz="1100" b="1">
              <a:latin typeface="Book Antiqua" panose="02040602050305030304" pitchFamily="18" charset="0"/>
            </a:rPr>
            <a:t>62.9%</a:t>
          </a:r>
          <a:r>
            <a:rPr lang="en-US" sz="1100">
              <a:latin typeface="Book Antiqua" panose="02040602050305030304" pitchFamily="18" charset="0"/>
            </a:rPr>
            <a:t> of calls had Negative/Very Negative sentiment.</a:t>
          </a:r>
          <a:br>
            <a:rPr lang="en-US" sz="1100">
              <a:latin typeface="Book Antiqua" panose="02040602050305030304" pitchFamily="18" charset="0"/>
            </a:rPr>
          </a:br>
          <a:r>
            <a:rPr lang="en-US" sz="1200" b="1">
              <a:latin typeface="Book Antiqua" panose="02040602050305030304" pitchFamily="18" charset="0"/>
            </a:rPr>
            <a:t>2. SLA performance is linked with better satisfaction</a:t>
          </a:r>
          <a:br>
            <a:rPr lang="en-US" sz="1100">
              <a:latin typeface="Book Antiqua" panose="02040602050305030304" pitchFamily="18" charset="0"/>
            </a:rPr>
          </a:br>
          <a:r>
            <a:rPr lang="en-US" sz="1100">
              <a:latin typeface="Book Antiqua" panose="02040602050305030304" pitchFamily="18" charset="0"/>
            </a:rPr>
            <a:t>Calls </a:t>
          </a:r>
          <a:r>
            <a:rPr lang="en-US" sz="1100" b="1">
              <a:latin typeface="Book Antiqua" panose="02040602050305030304" pitchFamily="18" charset="0"/>
            </a:rPr>
            <a:t>Within SLA</a:t>
          </a:r>
          <a:r>
            <a:rPr lang="en-US" sz="1100">
              <a:latin typeface="Book Antiqua" panose="02040602050305030304" pitchFamily="18" charset="0"/>
            </a:rPr>
            <a:t> had higher average CSAT (</a:t>
          </a:r>
          <a:r>
            <a:rPr lang="en-US" sz="1100" b="1">
              <a:latin typeface="Book Antiqua" panose="02040602050305030304" pitchFamily="18" charset="0"/>
            </a:rPr>
            <a:t>5.57</a:t>
          </a:r>
          <a:r>
            <a:rPr lang="en-US" sz="1100">
              <a:latin typeface="Book Antiqua" panose="02040602050305030304" pitchFamily="18" charset="0"/>
            </a:rPr>
            <a:t>) than Above-SLA calls (</a:t>
          </a:r>
          <a:r>
            <a:rPr lang="en-US" sz="1100" b="1">
              <a:latin typeface="Book Antiqua" panose="02040602050305030304" pitchFamily="18" charset="0"/>
            </a:rPr>
            <a:t>3.12</a:t>
          </a:r>
          <a:r>
            <a:rPr lang="en-US" sz="1100">
              <a:latin typeface="Book Antiqua" panose="02040602050305030304" pitchFamily="18" charset="0"/>
            </a:rPr>
            <a:t>).</a:t>
          </a:r>
          <a:br>
            <a:rPr lang="en-US" sz="1100">
              <a:latin typeface="Book Antiqua" panose="02040602050305030304" pitchFamily="18" charset="0"/>
            </a:rPr>
          </a:br>
          <a:r>
            <a:rPr lang="en-US" sz="1200" b="1">
              <a:latin typeface="Book Antiqua" panose="02040602050305030304" pitchFamily="18" charset="0"/>
            </a:rPr>
            <a:t>3. Above-SLA calls take longer</a:t>
          </a:r>
          <a:br>
            <a:rPr lang="en-US" sz="1100">
              <a:latin typeface="Book Antiqua" panose="02040602050305030304" pitchFamily="18" charset="0"/>
            </a:rPr>
          </a:br>
          <a:r>
            <a:rPr lang="en-US" sz="1100" b="1">
              <a:latin typeface="Book Antiqua" panose="02040602050305030304" pitchFamily="18" charset="0"/>
            </a:rPr>
            <a:t>Above-SLA</a:t>
          </a:r>
          <a:r>
            <a:rPr lang="en-US" sz="1100">
              <a:latin typeface="Book Antiqua" panose="02040602050305030304" pitchFamily="18" charset="0"/>
            </a:rPr>
            <a:t> calls averaged </a:t>
          </a:r>
          <a:r>
            <a:rPr lang="en-US" sz="1100" b="1">
              <a:latin typeface="Book Antiqua" panose="02040602050305030304" pitchFamily="18" charset="0"/>
            </a:rPr>
            <a:t>35.9 min</a:t>
          </a:r>
          <a:r>
            <a:rPr lang="en-US" sz="1100">
              <a:latin typeface="Book Antiqua" panose="02040602050305030304" pitchFamily="18" charset="0"/>
            </a:rPr>
            <a:t>, compared with </a:t>
          </a:r>
          <a:r>
            <a:rPr lang="en-US" sz="1100" b="1">
              <a:latin typeface="Book Antiqua" panose="02040602050305030304" pitchFamily="18" charset="0"/>
            </a:rPr>
            <a:t>23.9 min</a:t>
          </a:r>
          <a:r>
            <a:rPr lang="en-US" sz="1100">
              <a:latin typeface="Book Antiqua" panose="02040602050305030304" pitchFamily="18" charset="0"/>
            </a:rPr>
            <a:t> Within SLA.</a:t>
          </a:r>
        </a:p>
        <a:p>
          <a:pPr lvl="1" algn="l"/>
          <a:r>
            <a:rPr lang="en-US" sz="1200" b="1">
              <a:latin typeface="Book Antiqua" panose="02040602050305030304" pitchFamily="18" charset="0"/>
            </a:rPr>
            <a:t>4. Chatbot interactions had lower satisfaction</a:t>
          </a:r>
          <a:br>
            <a:rPr lang="en-US" sz="1200">
              <a:latin typeface="Book Antiqua" panose="02040602050305030304" pitchFamily="18" charset="0"/>
            </a:rPr>
          </a:br>
          <a:r>
            <a:rPr lang="en-US" sz="1100" b="1">
              <a:latin typeface="Book Antiqua" panose="02040602050305030304" pitchFamily="18" charset="0"/>
            </a:rPr>
            <a:t>Chatbot</a:t>
          </a:r>
          <a:r>
            <a:rPr lang="en-US" sz="1100">
              <a:latin typeface="Book Antiqua" panose="02040602050305030304" pitchFamily="18" charset="0"/>
            </a:rPr>
            <a:t> had an average CSAT of </a:t>
          </a:r>
          <a:r>
            <a:rPr lang="en-US" sz="1100" b="1">
              <a:latin typeface="Book Antiqua" panose="02040602050305030304" pitchFamily="18" charset="0"/>
            </a:rPr>
            <a:t>4.82</a:t>
          </a:r>
          <a:r>
            <a:rPr lang="en-US" sz="1100">
              <a:latin typeface="Book Antiqua" panose="02040602050305030304" pitchFamily="18" charset="0"/>
            </a:rPr>
            <a:t>, below the overall </a:t>
          </a:r>
          <a:r>
            <a:rPr lang="en-US" sz="1100" b="1">
              <a:latin typeface="Book Antiqua" panose="02040602050305030304" pitchFamily="18" charset="0"/>
            </a:rPr>
            <a:t>5.33</a:t>
          </a:r>
        </a:p>
        <a:p>
          <a:pPr lvl="1" algn="l"/>
          <a:r>
            <a:rPr lang="en-US" sz="1200" b="1">
              <a:latin typeface="Book Antiqua" panose="02040602050305030304" pitchFamily="18" charset="0"/>
            </a:rPr>
            <a:t>5. Service Outages required longer calls</a:t>
          </a:r>
          <a:br>
            <a:rPr lang="en-US" sz="1100">
              <a:latin typeface="Book Antiqua" panose="02040602050305030304" pitchFamily="18" charset="0"/>
            </a:rPr>
          </a:br>
          <a:r>
            <a:rPr lang="en-US" sz="1100" b="1">
              <a:latin typeface="Book Antiqua" panose="02040602050305030304" pitchFamily="18" charset="0"/>
            </a:rPr>
            <a:t>Service Outages</a:t>
          </a:r>
          <a:r>
            <a:rPr lang="en-US" sz="1100">
              <a:latin typeface="Book Antiqua" panose="02040602050305030304" pitchFamily="18" charset="0"/>
            </a:rPr>
            <a:t> had the longest average call duration at approximately </a:t>
          </a:r>
          <a:r>
            <a:rPr lang="en-US" sz="1100" b="1">
              <a:latin typeface="Book Antiqua" panose="02040602050305030304" pitchFamily="18" charset="0"/>
            </a:rPr>
            <a:t>31.6 min</a:t>
          </a:r>
          <a:r>
            <a:rPr lang="en-US" sz="1100">
              <a:latin typeface="Book Antiqua" panose="02040602050305030304" pitchFamily="18" charset="0"/>
            </a:rPr>
            <a:t>.</a:t>
          </a:r>
          <a:endParaRPr lang="en-PK" sz="1100">
            <a:latin typeface="Book Antiqua" panose="02040602050305030304"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bdul Qadeer" refreshedDate="46302.922823032408" createdVersion="6" refreshedVersion="6" minRefreshableVersion="3" recordCount="70" xr:uid="{5A5C44F2-07FB-497D-828C-653108D37D67}">
  <cacheSource type="worksheet">
    <worksheetSource ref="A6:Q76" sheet="Clean_Data"/>
  </cacheSource>
  <cacheFields count="17">
    <cacheField name="ID" numFmtId="0">
      <sharedItems/>
    </cacheField>
    <cacheField name="Customer Name" numFmtId="0">
      <sharedItems/>
    </cacheField>
    <cacheField name="Sentiment" numFmtId="0">
      <sharedItems count="5">
        <s v="Neutral"/>
        <s v="Negative"/>
        <s v="Very Negative"/>
        <s v="Positive"/>
        <s v="Very Positive"/>
      </sharedItems>
    </cacheField>
    <cacheField name="CSAT Score" numFmtId="0">
      <sharedItems containsSemiMixedTypes="0" containsString="0" containsNumber="1" containsInteger="1" minValue="1" maxValue="10"/>
    </cacheField>
    <cacheField name="Call Timestamp" numFmtId="14">
      <sharedItems containsSemiMixedTypes="0" containsNonDate="0" containsDate="1" containsString="0" minDate="2024-01-01T00:00:00" maxDate="2024-02-01T00:00:00" count="31">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sharedItems>
      <fieldGroup base="4">
        <rangePr groupBy="days" startDate="2024-01-01T00:00:00" endDate="2024-02-01T00:00:00"/>
        <groupItems count="368">
          <s v="&lt;01/01/2024"/>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2/2024"/>
        </groupItems>
      </fieldGroup>
    </cacheField>
    <cacheField name="Reason" numFmtId="0">
      <sharedItems count="3">
        <s v="Billing Question"/>
        <s v="Payments"/>
        <s v="Service Outage"/>
      </sharedItems>
    </cacheField>
    <cacheField name="City" numFmtId="0">
      <sharedItems/>
    </cacheField>
    <cacheField name="State" numFmtId="0">
      <sharedItems/>
    </cacheField>
    <cacheField name="Channel" numFmtId="0">
      <sharedItems count="4">
        <s v="Chatbot"/>
        <s v="Call-Center"/>
        <s v="Email"/>
        <s v="Web"/>
      </sharedItems>
    </cacheField>
    <cacheField name="Response Time" numFmtId="0">
      <sharedItems count="3">
        <s v="Within SLA"/>
        <s v="Below SLA"/>
        <s v="Above SLA"/>
      </sharedItems>
    </cacheField>
    <cacheField name="Call Duration (Minutes)" numFmtId="0">
      <sharedItems containsSemiMixedTypes="0" containsString="0" containsNumber="1" containsInteger="1" minValue="6" maxValue="45"/>
    </cacheField>
    <cacheField name="Call Center" numFmtId="0">
      <sharedItems count="4">
        <s v="Chicago/IL"/>
        <s v="Los Angeles/CA"/>
        <s v="Denver/CO"/>
        <s v="Baltimore/MD"/>
      </sharedItems>
    </cacheField>
    <cacheField name="Month" numFmtId="14">
      <sharedItems/>
    </cacheField>
    <cacheField name="Sentiment Group" numFmtId="0">
      <sharedItems count="3">
        <s v="Neutral"/>
        <s v="Negative"/>
        <s v="Positive"/>
      </sharedItems>
    </cacheField>
    <cacheField name="CSAT Category" numFmtId="0">
      <sharedItems/>
    </cacheField>
    <cacheField name="Call Duration Category" numFmtId="0">
      <sharedItems/>
    </cacheField>
    <cacheField name="SLA Status" numFmtId="0">
      <sharedItems count="2">
        <s v="Within SLA"/>
        <s v="Above SLA"/>
      </sharedItems>
    </cacheField>
  </cacheFields>
  <extLst>
    <ext xmlns:x14="http://schemas.microsoft.com/office/spreadsheetml/2009/9/main" uri="{725AE2AE-9491-48be-B2B4-4EB974FC3084}">
      <x14:pivotCacheDefinition pivotCacheId="9749516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PIS-39858047"/>
    <s v="Frances Gullefant"/>
    <x v="0"/>
    <n v="8"/>
    <x v="0"/>
    <x v="0"/>
    <s v="Charleston"/>
    <s v="West Virginia"/>
    <x v="0"/>
    <x v="0"/>
    <n v="14"/>
    <x v="0"/>
    <s v="Jan"/>
    <x v="0"/>
    <s v="High"/>
    <s v="Short"/>
    <x v="0"/>
  </r>
  <r>
    <s v="ROH-40287216"/>
    <s v="Harcourt Zoanetti"/>
    <x v="1"/>
    <n v="5"/>
    <x v="0"/>
    <x v="0"/>
    <s v="Honolulu"/>
    <s v="Hawaii"/>
    <x v="1"/>
    <x v="0"/>
    <n v="32"/>
    <x v="1"/>
    <s v="Jan"/>
    <x v="1"/>
    <s v="Medium"/>
    <s v="Long"/>
    <x v="0"/>
  </r>
  <r>
    <s v="NKC-39578431"/>
    <s v="Washington Oxteby"/>
    <x v="1"/>
    <n v="3"/>
    <x v="1"/>
    <x v="0"/>
    <s v="Dallas"/>
    <s v="Texas"/>
    <x v="0"/>
    <x v="0"/>
    <n v="6"/>
    <x v="2"/>
    <s v="Jan"/>
    <x v="1"/>
    <s v="Low"/>
    <s v="Short"/>
    <x v="0"/>
  </r>
  <r>
    <s v="APY-17008648"/>
    <s v="Rafe Duffitt"/>
    <x v="2"/>
    <n v="4"/>
    <x v="1"/>
    <x v="0"/>
    <s v="Fort Myers"/>
    <s v="Florida"/>
    <x v="2"/>
    <x v="1"/>
    <n v="26"/>
    <x v="1"/>
    <s v="Jan"/>
    <x v="1"/>
    <s v="Low"/>
    <s v="Medium"/>
    <x v="1"/>
  </r>
  <r>
    <s v="MHK-38443501"/>
    <s v="Tris Bent"/>
    <x v="3"/>
    <n v="8"/>
    <x v="1"/>
    <x v="0"/>
    <s v="Tuscaloosa"/>
    <s v="Alabama"/>
    <x v="3"/>
    <x v="0"/>
    <n v="26"/>
    <x v="1"/>
    <s v="Jan"/>
    <x v="2"/>
    <s v="High"/>
    <s v="Medium"/>
    <x v="0"/>
  </r>
  <r>
    <s v="QKL-49133006"/>
    <s v="Kassie Elman"/>
    <x v="2"/>
    <n v="4"/>
    <x v="2"/>
    <x v="0"/>
    <s v="Charleston"/>
    <s v="South Carolina"/>
    <x v="3"/>
    <x v="0"/>
    <n v="6"/>
    <x v="3"/>
    <s v="Jan"/>
    <x v="1"/>
    <s v="Low"/>
    <s v="Short"/>
    <x v="0"/>
  </r>
  <r>
    <s v="ZPZ-31710059"/>
    <s v="Elbertina Hewins"/>
    <x v="4"/>
    <n v="10"/>
    <x v="2"/>
    <x v="1"/>
    <s v="Pensacola"/>
    <s v="Florida"/>
    <x v="1"/>
    <x v="0"/>
    <n v="9"/>
    <x v="1"/>
    <s v="Jan"/>
    <x v="2"/>
    <s v="High"/>
    <s v="Short"/>
    <x v="0"/>
  </r>
  <r>
    <s v="IJF-13083880"/>
    <s v="Garland Chuney"/>
    <x v="1"/>
    <n v="3"/>
    <x v="3"/>
    <x v="0"/>
    <s v="Little Rock"/>
    <s v="Arkansas"/>
    <x v="1"/>
    <x v="0"/>
    <n v="15"/>
    <x v="3"/>
    <s v="Jan"/>
    <x v="1"/>
    <s v="Low"/>
    <s v="Short"/>
    <x v="0"/>
  </r>
  <r>
    <s v="ZKW-68562847"/>
    <s v="Caroljean Bischop"/>
    <x v="1"/>
    <n v="3"/>
    <x v="3"/>
    <x v="0"/>
    <s v="Nashville"/>
    <s v="Tennessee"/>
    <x v="3"/>
    <x v="0"/>
    <n v="12"/>
    <x v="1"/>
    <s v="Jan"/>
    <x v="1"/>
    <s v="Low"/>
    <s v="Short"/>
    <x v="0"/>
  </r>
  <r>
    <s v="NIL-47926257"/>
    <s v="Delmor McKleod"/>
    <x v="1"/>
    <n v="6"/>
    <x v="4"/>
    <x v="0"/>
    <s v="El Paso"/>
    <s v="Texas"/>
    <x v="3"/>
    <x v="0"/>
    <n v="42"/>
    <x v="1"/>
    <s v="Jan"/>
    <x v="1"/>
    <s v="Medium"/>
    <s v="Long"/>
    <x v="0"/>
  </r>
  <r>
    <s v="BPQ-80812775"/>
    <s v="Julee O'Gavin"/>
    <x v="1"/>
    <n v="3"/>
    <x v="4"/>
    <x v="0"/>
    <s v="Santa Ana"/>
    <s v="California"/>
    <x v="0"/>
    <x v="2"/>
    <n v="44"/>
    <x v="3"/>
    <s v="Jan"/>
    <x v="1"/>
    <s v="Low"/>
    <s v="Long"/>
    <x v="1"/>
  </r>
  <r>
    <s v="ZOK-34480332"/>
    <s v="Jaye Gribbon"/>
    <x v="0"/>
    <n v="7"/>
    <x v="5"/>
    <x v="0"/>
    <s v="Huntington"/>
    <s v="West Virginia"/>
    <x v="0"/>
    <x v="0"/>
    <n v="29"/>
    <x v="3"/>
    <s v="Jan"/>
    <x v="0"/>
    <s v="Medium"/>
    <s v="Medium"/>
    <x v="0"/>
  </r>
  <r>
    <s v="ZMB-79323804"/>
    <s v="Brodie Dobrowski"/>
    <x v="1"/>
    <n v="5"/>
    <x v="5"/>
    <x v="0"/>
    <s v="Pittsburgh"/>
    <s v="Pennsylvania"/>
    <x v="0"/>
    <x v="0"/>
    <n v="35"/>
    <x v="3"/>
    <s v="Jan"/>
    <x v="1"/>
    <s v="Medium"/>
    <s v="Long"/>
    <x v="0"/>
  </r>
  <r>
    <s v="YYO-56445305"/>
    <s v="Sibylla Kemet"/>
    <x v="2"/>
    <n v="2"/>
    <x v="6"/>
    <x v="0"/>
    <s v="Tucson"/>
    <s v="Arizona"/>
    <x v="3"/>
    <x v="0"/>
    <n v="30"/>
    <x v="1"/>
    <s v="Jan"/>
    <x v="1"/>
    <s v="Low"/>
    <s v="Medium"/>
    <x v="0"/>
  </r>
  <r>
    <s v="JYD-67455825"/>
    <s v="Quintilla Hourston"/>
    <x v="1"/>
    <n v="6"/>
    <x v="6"/>
    <x v="1"/>
    <s v="Des Moines"/>
    <s v="Iowa"/>
    <x v="1"/>
    <x v="0"/>
    <n v="29"/>
    <x v="1"/>
    <s v="Jan"/>
    <x v="1"/>
    <s v="Medium"/>
    <s v="Medium"/>
    <x v="0"/>
  </r>
  <r>
    <s v="KNO-93249512"/>
    <s v="Maggi Simpson"/>
    <x v="3"/>
    <n v="9"/>
    <x v="7"/>
    <x v="1"/>
    <s v="San Francisco"/>
    <s v="California"/>
    <x v="1"/>
    <x v="0"/>
    <n v="9"/>
    <x v="3"/>
    <s v="Jan"/>
    <x v="2"/>
    <s v="High"/>
    <s v="Short"/>
    <x v="0"/>
  </r>
  <r>
    <s v="VFG-63863025"/>
    <s v="Early Andrassy"/>
    <x v="4"/>
    <n v="9"/>
    <x v="7"/>
    <x v="0"/>
    <s v="Lansing"/>
    <s v="Michigan"/>
    <x v="0"/>
    <x v="0"/>
    <n v="8"/>
    <x v="1"/>
    <s v="Jan"/>
    <x v="2"/>
    <s v="High"/>
    <s v="Short"/>
    <x v="0"/>
  </r>
  <r>
    <s v="UCT-41608771"/>
    <s v="Ettie Ruoff"/>
    <x v="2"/>
    <n v="3"/>
    <x v="7"/>
    <x v="0"/>
    <s v="Washington"/>
    <s v="District of Columbia"/>
    <x v="0"/>
    <x v="2"/>
    <n v="35"/>
    <x v="0"/>
    <s v="Jan"/>
    <x v="1"/>
    <s v="Low"/>
    <s v="Long"/>
    <x v="1"/>
  </r>
  <r>
    <s v="YLF-83918836"/>
    <s v="Bogey McReath"/>
    <x v="3"/>
    <n v="7"/>
    <x v="7"/>
    <x v="0"/>
    <s v="New York City"/>
    <s v="New York"/>
    <x v="3"/>
    <x v="0"/>
    <n v="20"/>
    <x v="3"/>
    <s v="Jan"/>
    <x v="2"/>
    <s v="Medium"/>
    <s v="Medium"/>
    <x v="0"/>
  </r>
  <r>
    <s v="QCH-83950486"/>
    <s v="Sephira Philippart"/>
    <x v="1"/>
    <n v="3"/>
    <x v="8"/>
    <x v="0"/>
    <s v="Madison"/>
    <s v="Wisconsin"/>
    <x v="3"/>
    <x v="0"/>
    <n v="31"/>
    <x v="1"/>
    <s v="Jan"/>
    <x v="1"/>
    <s v="Low"/>
    <s v="Long"/>
    <x v="0"/>
  </r>
  <r>
    <s v="PDB-14404239"/>
    <s v="Charles Sandison"/>
    <x v="0"/>
    <n v="5"/>
    <x v="8"/>
    <x v="0"/>
    <s v="Fort Pierce"/>
    <s v="Florida"/>
    <x v="2"/>
    <x v="1"/>
    <n v="39"/>
    <x v="1"/>
    <s v="Jan"/>
    <x v="0"/>
    <s v="Medium"/>
    <s v="Long"/>
    <x v="1"/>
  </r>
  <r>
    <s v="LFZ-17229282"/>
    <s v="Zora Keelin"/>
    <x v="1"/>
    <n v="3"/>
    <x v="9"/>
    <x v="0"/>
    <s v="Lubbock"/>
    <s v="Texas"/>
    <x v="1"/>
    <x v="0"/>
    <n v="38"/>
    <x v="2"/>
    <s v="Jan"/>
    <x v="1"/>
    <s v="Low"/>
    <s v="Long"/>
    <x v="0"/>
  </r>
  <r>
    <s v="VKV-67119644"/>
    <s v="Lillis Dewhurst"/>
    <x v="1"/>
    <n v="4"/>
    <x v="9"/>
    <x v="0"/>
    <s v="Stockton"/>
    <s v="California"/>
    <x v="1"/>
    <x v="2"/>
    <n v="44"/>
    <x v="2"/>
    <s v="Jan"/>
    <x v="1"/>
    <s v="Low"/>
    <s v="Long"/>
    <x v="1"/>
  </r>
  <r>
    <s v="PBY-32667898"/>
    <s v="Luz Gudgeon"/>
    <x v="2"/>
    <n v="4"/>
    <x v="10"/>
    <x v="2"/>
    <s v="Corpus Christi"/>
    <s v="Texas"/>
    <x v="0"/>
    <x v="0"/>
    <n v="41"/>
    <x v="0"/>
    <s v="Jan"/>
    <x v="1"/>
    <s v="Low"/>
    <s v="Long"/>
    <x v="0"/>
  </r>
  <r>
    <s v="EWI-18960031"/>
    <s v="Abigale Morgan"/>
    <x v="2"/>
    <n v="4"/>
    <x v="10"/>
    <x v="0"/>
    <s v="Minneapolis"/>
    <s v="Minnesota"/>
    <x v="0"/>
    <x v="0"/>
    <n v="7"/>
    <x v="3"/>
    <s v="Jan"/>
    <x v="1"/>
    <s v="Low"/>
    <s v="Short"/>
    <x v="0"/>
  </r>
  <r>
    <s v="IYX-48770048"/>
    <s v="Minette Muzzillo"/>
    <x v="2"/>
    <n v="4"/>
    <x v="11"/>
    <x v="0"/>
    <s v="Colorado Springs"/>
    <s v="Colorado"/>
    <x v="2"/>
    <x v="0"/>
    <n v="34"/>
    <x v="1"/>
    <s v="Jan"/>
    <x v="1"/>
    <s v="Low"/>
    <s v="Long"/>
    <x v="0"/>
  </r>
  <r>
    <s v="EVO-87671386"/>
    <s v="Nanon FitzGilbert"/>
    <x v="4"/>
    <n v="10"/>
    <x v="11"/>
    <x v="0"/>
    <s v="Abilene"/>
    <s v="Texas"/>
    <x v="3"/>
    <x v="1"/>
    <n v="36"/>
    <x v="1"/>
    <s v="Jan"/>
    <x v="2"/>
    <s v="High"/>
    <s v="Long"/>
    <x v="1"/>
  </r>
  <r>
    <s v="ZYX-10467563"/>
    <s v="Ginelle Olver"/>
    <x v="0"/>
    <n v="8"/>
    <x v="12"/>
    <x v="0"/>
    <s v="Fort Lauderdale"/>
    <s v="Florida"/>
    <x v="1"/>
    <x v="0"/>
    <n v="9"/>
    <x v="0"/>
    <s v="Jan"/>
    <x v="0"/>
    <s v="High"/>
    <s v="Short"/>
    <x v="0"/>
  </r>
  <r>
    <s v="DZU-03236134"/>
    <s v="Tricia Kinnie"/>
    <x v="1"/>
    <n v="6"/>
    <x v="12"/>
    <x v="0"/>
    <s v="Shawnee Mission"/>
    <s v="Kansas"/>
    <x v="1"/>
    <x v="0"/>
    <n v="39"/>
    <x v="3"/>
    <s v="Jan"/>
    <x v="1"/>
    <s v="Medium"/>
    <s v="Long"/>
    <x v="0"/>
  </r>
  <r>
    <s v="CAZ-10660311"/>
    <s v="Kristoforo Burnell"/>
    <x v="3"/>
    <n v="7"/>
    <x v="13"/>
    <x v="0"/>
    <s v="Gainesville"/>
    <s v="Florida"/>
    <x v="2"/>
    <x v="0"/>
    <n v="17"/>
    <x v="1"/>
    <s v="Jan"/>
    <x v="2"/>
    <s v="Medium"/>
    <s v="Medium"/>
    <x v="0"/>
  </r>
  <r>
    <s v="ESF-57588548"/>
    <s v="Dulsea Pendry"/>
    <x v="4"/>
    <n v="10"/>
    <x v="13"/>
    <x v="0"/>
    <s v="Erie"/>
    <s v="Pennsylvania"/>
    <x v="3"/>
    <x v="0"/>
    <n v="26"/>
    <x v="1"/>
    <s v="Jan"/>
    <x v="2"/>
    <s v="High"/>
    <s v="Medium"/>
    <x v="0"/>
  </r>
  <r>
    <s v="WKS-55916097"/>
    <s v="Alberik Jacques"/>
    <x v="0"/>
    <n v="6"/>
    <x v="14"/>
    <x v="2"/>
    <s v="Houston"/>
    <s v="Texas"/>
    <x v="0"/>
    <x v="1"/>
    <n v="35"/>
    <x v="3"/>
    <s v="Jan"/>
    <x v="0"/>
    <s v="Medium"/>
    <s v="Long"/>
    <x v="1"/>
  </r>
  <r>
    <s v="OHX-59443580"/>
    <s v="Banky Falla"/>
    <x v="1"/>
    <n v="5"/>
    <x v="14"/>
    <x v="1"/>
    <s v="Saint Paul"/>
    <s v="Minnesota"/>
    <x v="1"/>
    <x v="1"/>
    <n v="25"/>
    <x v="0"/>
    <s v="Jan"/>
    <x v="1"/>
    <s v="Medium"/>
    <s v="Medium"/>
    <x v="1"/>
  </r>
  <r>
    <s v="TLA-11600824"/>
    <s v="Ganny Crampsy"/>
    <x v="1"/>
    <n v="3"/>
    <x v="15"/>
    <x v="2"/>
    <s v="Minneapolis"/>
    <s v="Minnesota"/>
    <x v="0"/>
    <x v="0"/>
    <n v="35"/>
    <x v="0"/>
    <s v="Jan"/>
    <x v="1"/>
    <s v="Low"/>
    <s v="Long"/>
    <x v="0"/>
  </r>
  <r>
    <s v="YPB-82095843"/>
    <s v="Shari Adrienne"/>
    <x v="1"/>
    <n v="3"/>
    <x v="15"/>
    <x v="0"/>
    <s v="Fort Worth"/>
    <s v="Texas"/>
    <x v="1"/>
    <x v="0"/>
    <n v="38"/>
    <x v="3"/>
    <s v="Jan"/>
    <x v="1"/>
    <s v="Low"/>
    <s v="Long"/>
    <x v="0"/>
  </r>
  <r>
    <s v="LZU-62237096"/>
    <s v="Charo Aisbett"/>
    <x v="1"/>
    <n v="3"/>
    <x v="16"/>
    <x v="0"/>
    <s v="Salt Lake City"/>
    <s v="Utah"/>
    <x v="3"/>
    <x v="1"/>
    <n v="14"/>
    <x v="1"/>
    <s v="Jan"/>
    <x v="1"/>
    <s v="Low"/>
    <s v="Short"/>
    <x v="1"/>
  </r>
  <r>
    <s v="XCX-53374693"/>
    <s v="Francyne Hagergham"/>
    <x v="1"/>
    <n v="6"/>
    <x v="16"/>
    <x v="0"/>
    <s v="Santa Ana"/>
    <s v="California"/>
    <x v="3"/>
    <x v="0"/>
    <n v="43"/>
    <x v="1"/>
    <s v="Jan"/>
    <x v="1"/>
    <s v="Medium"/>
    <s v="Long"/>
    <x v="0"/>
  </r>
  <r>
    <s v="PJL-11752230"/>
    <s v="Lindsay Bubb"/>
    <x v="4"/>
    <n v="9"/>
    <x v="17"/>
    <x v="0"/>
    <s v="South Lake Tahoe"/>
    <s v="California"/>
    <x v="1"/>
    <x v="0"/>
    <n v="43"/>
    <x v="1"/>
    <s v="Jan"/>
    <x v="2"/>
    <s v="High"/>
    <s v="Long"/>
    <x v="0"/>
  </r>
  <r>
    <s v="MFC-52269149"/>
    <s v="Roobbie Pickervance"/>
    <x v="0"/>
    <n v="6"/>
    <x v="17"/>
    <x v="0"/>
    <s v="Montgomery"/>
    <s v="Alabama"/>
    <x v="3"/>
    <x v="0"/>
    <n v="6"/>
    <x v="3"/>
    <s v="Jan"/>
    <x v="0"/>
    <s v="Medium"/>
    <s v="Short"/>
    <x v="0"/>
  </r>
  <r>
    <s v="TQC-88855863"/>
    <s v="Erminia Lummasana"/>
    <x v="3"/>
    <n v="7"/>
    <x v="18"/>
    <x v="0"/>
    <s v="Providence"/>
    <s v="Rhode Island"/>
    <x v="2"/>
    <x v="1"/>
    <n v="41"/>
    <x v="1"/>
    <s v="Jan"/>
    <x v="2"/>
    <s v="Medium"/>
    <s v="Long"/>
    <x v="1"/>
  </r>
  <r>
    <s v="FGR-90006976"/>
    <s v="Ariel Pittendreigh"/>
    <x v="1"/>
    <n v="4"/>
    <x v="18"/>
    <x v="1"/>
    <s v="Richmond"/>
    <s v="Virginia"/>
    <x v="1"/>
    <x v="0"/>
    <n v="27"/>
    <x v="3"/>
    <s v="Jan"/>
    <x v="1"/>
    <s v="Low"/>
    <s v="Medium"/>
    <x v="0"/>
  </r>
  <r>
    <s v="PAT-23706620"/>
    <s v="Rudie Tomsen"/>
    <x v="3"/>
    <n v="7"/>
    <x v="19"/>
    <x v="1"/>
    <s v="Johnstown"/>
    <s v="Pennsylvania"/>
    <x v="1"/>
    <x v="0"/>
    <n v="9"/>
    <x v="1"/>
    <s v="Jan"/>
    <x v="2"/>
    <s v="Medium"/>
    <s v="Short"/>
    <x v="0"/>
  </r>
  <r>
    <s v="XRX-56871498"/>
    <s v="Alric Scrane"/>
    <x v="2"/>
    <n v="4"/>
    <x v="19"/>
    <x v="1"/>
    <s v="Washington"/>
    <s v="District of Columbia"/>
    <x v="1"/>
    <x v="0"/>
    <n v="30"/>
    <x v="1"/>
    <s v="Jan"/>
    <x v="1"/>
    <s v="Low"/>
    <s v="Medium"/>
    <x v="0"/>
  </r>
  <r>
    <s v="BYM-24034403"/>
    <s v="Eyde Djurevic"/>
    <x v="2"/>
    <n v="2"/>
    <x v="20"/>
    <x v="0"/>
    <s v="Bronx"/>
    <s v="New York"/>
    <x v="0"/>
    <x v="2"/>
    <n v="36"/>
    <x v="0"/>
    <s v="Jan"/>
    <x v="1"/>
    <s v="Low"/>
    <s v="Long"/>
    <x v="1"/>
  </r>
  <r>
    <s v="TNK-37391425"/>
    <s v="Hubey Wartonby"/>
    <x v="1"/>
    <n v="3"/>
    <x v="20"/>
    <x v="1"/>
    <s v="Las Vegas"/>
    <s v="Nevada"/>
    <x v="1"/>
    <x v="2"/>
    <n v="17"/>
    <x v="3"/>
    <s v="Jan"/>
    <x v="1"/>
    <s v="Low"/>
    <s v="Medium"/>
    <x v="1"/>
  </r>
  <r>
    <s v="JJM-32557838"/>
    <s v="Cirstoforo Jemmett"/>
    <x v="2"/>
    <n v="4"/>
    <x v="21"/>
    <x v="0"/>
    <s v="Fort Myers"/>
    <s v="Florida"/>
    <x v="3"/>
    <x v="0"/>
    <n v="38"/>
    <x v="3"/>
    <s v="Jan"/>
    <x v="1"/>
    <s v="Low"/>
    <s v="Long"/>
    <x v="0"/>
  </r>
  <r>
    <s v="KWC-18652469"/>
    <s v="Elijah Goalby"/>
    <x v="2"/>
    <n v="2"/>
    <x v="21"/>
    <x v="2"/>
    <s v="Pasadena"/>
    <s v="California"/>
    <x v="0"/>
    <x v="0"/>
    <n v="36"/>
    <x v="1"/>
    <s v="Jan"/>
    <x v="1"/>
    <s v="Low"/>
    <s v="Long"/>
    <x v="0"/>
  </r>
  <r>
    <s v="GCS-45015293"/>
    <s v="Thaddus Seeley"/>
    <x v="3"/>
    <n v="9"/>
    <x v="22"/>
    <x v="0"/>
    <s v="Sacramento"/>
    <s v="California"/>
    <x v="0"/>
    <x v="0"/>
    <n v="38"/>
    <x v="3"/>
    <s v="Jan"/>
    <x v="2"/>
    <s v="High"/>
    <s v="Long"/>
    <x v="0"/>
  </r>
  <r>
    <s v="IZX-08099835"/>
    <s v="Brody Rebichon"/>
    <x v="1"/>
    <n v="6"/>
    <x v="22"/>
    <x v="0"/>
    <s v="Chicago"/>
    <s v="Illinois"/>
    <x v="0"/>
    <x v="0"/>
    <n v="13"/>
    <x v="3"/>
    <s v="Jan"/>
    <x v="1"/>
    <s v="Medium"/>
    <s v="Short"/>
    <x v="0"/>
  </r>
  <r>
    <s v="TPZ-92635583"/>
    <s v="Eartha Boner"/>
    <x v="3"/>
    <n v="8"/>
    <x v="23"/>
    <x v="2"/>
    <s v="Fort Wayne"/>
    <s v="Indiana"/>
    <x v="0"/>
    <x v="0"/>
    <n v="42"/>
    <x v="1"/>
    <s v="Jan"/>
    <x v="2"/>
    <s v="High"/>
    <s v="Long"/>
    <x v="0"/>
  </r>
  <r>
    <s v="JOT-87331404"/>
    <s v="Loralee Shivell"/>
    <x v="0"/>
    <n v="8"/>
    <x v="23"/>
    <x v="2"/>
    <s v="Kansas City"/>
    <s v="Missouri"/>
    <x v="0"/>
    <x v="0"/>
    <n v="7"/>
    <x v="3"/>
    <s v="Jan"/>
    <x v="0"/>
    <s v="High"/>
    <s v="Short"/>
    <x v="0"/>
  </r>
  <r>
    <s v="OKK-04567923"/>
    <s v="Zacherie Tigner"/>
    <x v="2"/>
    <n v="4"/>
    <x v="23"/>
    <x v="1"/>
    <s v="Long Beach"/>
    <s v="California"/>
    <x v="1"/>
    <x v="0"/>
    <n v="30"/>
    <x v="3"/>
    <s v="Jan"/>
    <x v="1"/>
    <s v="Low"/>
    <s v="Medium"/>
    <x v="0"/>
  </r>
  <r>
    <s v="TCX-30032546"/>
    <s v="Madelena Pinnock"/>
    <x v="1"/>
    <n v="4"/>
    <x v="23"/>
    <x v="2"/>
    <s v="Fort Pierce"/>
    <s v="Florida"/>
    <x v="0"/>
    <x v="2"/>
    <n v="22"/>
    <x v="3"/>
    <s v="Jan"/>
    <x v="1"/>
    <s v="Low"/>
    <s v="Medium"/>
    <x v="1"/>
  </r>
  <r>
    <s v="HMX-04214019"/>
    <s v="Mira Beddows"/>
    <x v="3"/>
    <n v="7"/>
    <x v="24"/>
    <x v="0"/>
    <s v="Baton Rouge"/>
    <s v="Louisiana"/>
    <x v="1"/>
    <x v="0"/>
    <n v="8"/>
    <x v="3"/>
    <s v="Jan"/>
    <x v="2"/>
    <s v="Medium"/>
    <s v="Short"/>
    <x v="0"/>
  </r>
  <r>
    <s v="SYU-34524338"/>
    <s v="Giralda Gebby"/>
    <x v="2"/>
    <n v="3"/>
    <x v="24"/>
    <x v="0"/>
    <s v="Naperville"/>
    <s v="Illinois"/>
    <x v="0"/>
    <x v="2"/>
    <n v="44"/>
    <x v="3"/>
    <s v="Jan"/>
    <x v="1"/>
    <s v="Low"/>
    <s v="Long"/>
    <x v="1"/>
  </r>
  <r>
    <s v="GBF-72465641"/>
    <s v="Shelagh Washington"/>
    <x v="2"/>
    <n v="1"/>
    <x v="25"/>
    <x v="0"/>
    <s v="Salt Lake City"/>
    <s v="Utah"/>
    <x v="0"/>
    <x v="0"/>
    <n v="34"/>
    <x v="3"/>
    <s v="Jan"/>
    <x v="1"/>
    <s v="Low"/>
    <s v="Long"/>
    <x v="0"/>
  </r>
  <r>
    <s v="FMF-68865737"/>
    <s v="Janeczka Caze"/>
    <x v="1"/>
    <n v="6"/>
    <x v="25"/>
    <x v="0"/>
    <s v="Minneapolis"/>
    <s v="Minnesota"/>
    <x v="1"/>
    <x v="0"/>
    <n v="18"/>
    <x v="1"/>
    <s v="Jan"/>
    <x v="1"/>
    <s v="Medium"/>
    <s v="Medium"/>
    <x v="0"/>
  </r>
  <r>
    <s v="WMA-45712668"/>
    <s v="Angie Francklin"/>
    <x v="1"/>
    <n v="4"/>
    <x v="26"/>
    <x v="0"/>
    <s v="Evansville"/>
    <s v="Indiana"/>
    <x v="2"/>
    <x v="0"/>
    <n v="23"/>
    <x v="1"/>
    <s v="Jan"/>
    <x v="1"/>
    <s v="Low"/>
    <s v="Medium"/>
    <x v="0"/>
  </r>
  <r>
    <s v="VEC-69408692"/>
    <s v="Anna-maria McPeice"/>
    <x v="0"/>
    <n v="7"/>
    <x v="26"/>
    <x v="0"/>
    <s v="Rockford"/>
    <s v="Illinois"/>
    <x v="1"/>
    <x v="0"/>
    <n v="37"/>
    <x v="1"/>
    <s v="Jan"/>
    <x v="0"/>
    <s v="Medium"/>
    <s v="Long"/>
    <x v="0"/>
  </r>
  <r>
    <s v="MBN-58485152"/>
    <s v="Jude Traise"/>
    <x v="4"/>
    <n v="9"/>
    <x v="27"/>
    <x v="0"/>
    <s v="Harrisburg"/>
    <s v="Pennsylvania"/>
    <x v="3"/>
    <x v="0"/>
    <n v="14"/>
    <x v="3"/>
    <s v="Jan"/>
    <x v="2"/>
    <s v="High"/>
    <s v="Short"/>
    <x v="0"/>
  </r>
  <r>
    <s v="VBY-78584211"/>
    <s v="Evangeline Dillingham"/>
    <x v="1"/>
    <n v="5"/>
    <x v="27"/>
    <x v="0"/>
    <s v="Reno"/>
    <s v="Nevada"/>
    <x v="3"/>
    <x v="0"/>
    <n v="31"/>
    <x v="2"/>
    <s v="Jan"/>
    <x v="1"/>
    <s v="Medium"/>
    <s v="Long"/>
    <x v="0"/>
  </r>
  <r>
    <s v="WSO-69134806"/>
    <s v="Patti Gocher"/>
    <x v="2"/>
    <n v="1"/>
    <x v="28"/>
    <x v="1"/>
    <s v="Bloomington"/>
    <s v="Illinois"/>
    <x v="1"/>
    <x v="0"/>
    <n v="10"/>
    <x v="2"/>
    <s v="Jan"/>
    <x v="1"/>
    <s v="Low"/>
    <s v="Short"/>
    <x v="0"/>
  </r>
  <r>
    <s v="MYP-30178430"/>
    <s v="Cora Buggs"/>
    <x v="1"/>
    <n v="3"/>
    <x v="28"/>
    <x v="0"/>
    <s v="Katy"/>
    <s v="Texas"/>
    <x v="0"/>
    <x v="2"/>
    <n v="45"/>
    <x v="3"/>
    <s v="Jan"/>
    <x v="1"/>
    <s v="Low"/>
    <s v="Long"/>
    <x v="1"/>
  </r>
  <r>
    <s v="FRU-31409409"/>
    <s v="Othella Kindle"/>
    <x v="1"/>
    <n v="5"/>
    <x v="28"/>
    <x v="0"/>
    <s v="Little Rock"/>
    <s v="Arkansas"/>
    <x v="2"/>
    <x v="0"/>
    <n v="8"/>
    <x v="2"/>
    <s v="Jan"/>
    <x v="1"/>
    <s v="Medium"/>
    <s v="Short"/>
    <x v="0"/>
  </r>
  <r>
    <s v="VMZ-59696572"/>
    <s v="Sheppard Withull"/>
    <x v="3"/>
    <n v="8"/>
    <x v="28"/>
    <x v="0"/>
    <s v="Concord"/>
    <s v="California"/>
    <x v="2"/>
    <x v="1"/>
    <n v="35"/>
    <x v="1"/>
    <s v="Jan"/>
    <x v="2"/>
    <s v="High"/>
    <s v="Long"/>
    <x v="1"/>
  </r>
  <r>
    <s v="JCE-87896568"/>
    <s v="Llewellyn Pablos"/>
    <x v="4"/>
    <n v="9"/>
    <x v="28"/>
    <x v="1"/>
    <s v="Lubbock"/>
    <s v="Texas"/>
    <x v="1"/>
    <x v="0"/>
    <n v="33"/>
    <x v="1"/>
    <s v="Jan"/>
    <x v="2"/>
    <s v="High"/>
    <s v="Long"/>
    <x v="0"/>
  </r>
  <r>
    <s v="GZL-83273642"/>
    <s v="Lurleen Swadden"/>
    <x v="0"/>
    <n v="8"/>
    <x v="29"/>
    <x v="1"/>
    <s v="Chicago"/>
    <s v="Illinois"/>
    <x v="1"/>
    <x v="0"/>
    <n v="8"/>
    <x v="3"/>
    <s v="Jan"/>
    <x v="0"/>
    <s v="High"/>
    <s v="Short"/>
    <x v="0"/>
  </r>
  <r>
    <s v="YHK-31842577"/>
    <s v="Ardith Bunting"/>
    <x v="1"/>
    <n v="3"/>
    <x v="29"/>
    <x v="0"/>
    <s v="Columbus"/>
    <s v="Ohio"/>
    <x v="3"/>
    <x v="0"/>
    <n v="19"/>
    <x v="3"/>
    <s v="Jan"/>
    <x v="1"/>
    <s v="Low"/>
    <s v="Medium"/>
    <x v="0"/>
  </r>
  <r>
    <s v="BGA-81071725"/>
    <s v="Wylie Gramer"/>
    <x v="1"/>
    <n v="3"/>
    <x v="30"/>
    <x v="0"/>
    <s v="Columbus"/>
    <s v="Georgia"/>
    <x v="3"/>
    <x v="0"/>
    <n v="23"/>
    <x v="1"/>
    <s v="Jan"/>
    <x v="1"/>
    <s v="Low"/>
    <s v="Medium"/>
    <x v="0"/>
  </r>
  <r>
    <s v="CRQ-64410572"/>
    <s v="Bat Pond"/>
    <x v="1"/>
    <n v="5"/>
    <x v="30"/>
    <x v="2"/>
    <s v="New York City"/>
    <s v="New York"/>
    <x v="0"/>
    <x v="1"/>
    <n v="35"/>
    <x v="1"/>
    <s v="Jan"/>
    <x v="1"/>
    <s v="Medium"/>
    <s v="Long"/>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6331445-482E-4490-9B59-BE10C461FE77}"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rowHeaderCaption="Channel">
  <location ref="A12:B17" firstHeaderRow="1" firstDataRow="1" firstDataCol="1"/>
  <pivotFields count="17">
    <pivotField showAll="0"/>
    <pivotField showAll="0"/>
    <pivotField showAll="0">
      <items count="6">
        <item x="1"/>
        <item x="0"/>
        <item x="3"/>
        <item x="2"/>
        <item x="4"/>
        <item t="default"/>
      </items>
    </pivotField>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4">
        <item x="0"/>
        <item x="1"/>
        <item x="2"/>
        <item t="default"/>
      </items>
    </pivotField>
    <pivotField showAll="0"/>
    <pivotField showAll="0"/>
    <pivotField axis="axisRow" showAll="0">
      <items count="5">
        <item x="1"/>
        <item x="0"/>
        <item x="2"/>
        <item x="3"/>
        <item t="default"/>
      </items>
    </pivotField>
    <pivotField showAll="0"/>
    <pivotField showAll="0"/>
    <pivotField showAll="0">
      <items count="5">
        <item x="3"/>
        <item x="0"/>
        <item x="2"/>
        <item x="1"/>
        <item t="default"/>
      </items>
    </pivotField>
    <pivotField showAll="0"/>
    <pivotField showAll="0">
      <items count="4">
        <item x="1"/>
        <item x="0"/>
        <item x="2"/>
        <item t="default"/>
      </items>
    </pivotField>
    <pivotField showAll="0"/>
    <pivotField showAll="0"/>
    <pivotField showAll="0">
      <items count="3">
        <item x="1"/>
        <item x="0"/>
        <item t="default"/>
      </items>
    </pivotField>
  </pivotFields>
  <rowFields count="1">
    <field x="8"/>
  </rowFields>
  <rowItems count="5">
    <i>
      <x/>
    </i>
    <i>
      <x v="1"/>
    </i>
    <i>
      <x v="2"/>
    </i>
    <i>
      <x v="3"/>
    </i>
    <i t="grand">
      <x/>
    </i>
  </rowItems>
  <colItems count="1">
    <i/>
  </colItems>
  <dataFields count="1">
    <dataField name="Average CSAT" fld="3" subtotal="average" baseField="8" baseItem="0" numFmtId="2"/>
  </dataFields>
  <formats count="1">
    <format dxfId="13">
      <pivotArea outline="0" collapsedLevelsAreSubtotals="1"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Medium1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63E229-66A4-41CC-B557-D03619BD99BF}"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4" rowHeaderCaption="SLA Status">
  <location ref="D20:F23" firstHeaderRow="0" firstDataRow="1" firstDataCol="1"/>
  <pivotFields count="17">
    <pivotField dataField="1" showAll="0"/>
    <pivotField showAll="0"/>
    <pivotField showAll="0">
      <items count="6">
        <item x="1"/>
        <item x="0"/>
        <item x="3"/>
        <item x="2"/>
        <item x="4"/>
        <item t="default"/>
      </items>
    </pivotField>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4">
        <item x="0"/>
        <item x="1"/>
        <item x="2"/>
        <item t="default"/>
      </items>
    </pivotField>
    <pivotField showAll="0"/>
    <pivotField showAll="0"/>
    <pivotField showAll="0">
      <items count="5">
        <item x="1"/>
        <item x="0"/>
        <item x="2"/>
        <item x="3"/>
        <item t="default"/>
      </items>
    </pivotField>
    <pivotField showAll="0">
      <items count="4">
        <item x="2"/>
        <item x="1"/>
        <item x="0"/>
        <item t="default"/>
      </items>
    </pivotField>
    <pivotField showAll="0"/>
    <pivotField showAll="0">
      <items count="5">
        <item x="3"/>
        <item x="0"/>
        <item x="2"/>
        <item x="1"/>
        <item t="default"/>
      </items>
    </pivotField>
    <pivotField showAll="0"/>
    <pivotField showAll="0">
      <items count="4">
        <item x="1"/>
        <item x="0"/>
        <item x="2"/>
        <item t="default"/>
      </items>
    </pivotField>
    <pivotField showAll="0"/>
    <pivotField showAll="0"/>
    <pivotField axis="axisRow" showAll="0">
      <items count="3">
        <item x="1"/>
        <item x="0"/>
        <item t="default"/>
      </items>
    </pivotField>
  </pivotFields>
  <rowFields count="1">
    <field x="16"/>
  </rowFields>
  <rowItems count="3">
    <i>
      <x/>
    </i>
    <i>
      <x v="1"/>
    </i>
    <i t="grand">
      <x/>
    </i>
  </rowItems>
  <colFields count="1">
    <field x="-2"/>
  </colFields>
  <colItems count="2">
    <i>
      <x/>
    </i>
    <i i="1">
      <x v="1"/>
    </i>
  </colItems>
  <dataFields count="2">
    <dataField name="Calls" fld="0" subtotal="count" baseField="16" baseItem="0" numFmtId="1"/>
    <dataField name="Avg CSAT" fld="3" subtotal="average" baseField="16" baseItem="0" numFmtId="2"/>
  </dataFields>
  <formats count="5">
    <format dxfId="14">
      <pivotArea collapsedLevelsAreSubtotals="1" fieldPosition="0">
        <references count="1">
          <reference field="16" count="1">
            <x v="0"/>
          </reference>
        </references>
      </pivotArea>
    </format>
    <format dxfId="15">
      <pivotArea collapsedLevelsAreSubtotals="1" fieldPosition="0">
        <references count="1">
          <reference field="16" count="1">
            <x v="1"/>
          </reference>
        </references>
      </pivotArea>
    </format>
    <format dxfId="16">
      <pivotArea grandRow="1" outline="0" collapsedLevelsAreSubtotals="1" fieldPosition="0"/>
    </format>
    <format dxfId="17">
      <pivotArea outline="0" collapsedLevelsAreSubtotals="1" fieldPosition="0"/>
    </format>
    <format dxfId="18">
      <pivotArea outline="0" collapsedLevelsAreSubtotals="1" fieldPosition="0">
        <references count="1">
          <reference field="4294967294" count="1" selected="0">
            <x v="0"/>
          </reference>
        </references>
      </pivotArea>
    </format>
  </formats>
  <chartFormats count="3">
    <chartFormat chart="5" format="7" series="1">
      <pivotArea type="data" outline="0" fieldPosition="0">
        <references count="1">
          <reference field="4294967294" count="1" selected="0">
            <x v="1"/>
          </reference>
        </references>
      </pivotArea>
    </chartFormat>
    <chartFormat chart="13" format="2" series="1">
      <pivotArea type="data" outline="0" fieldPosition="0">
        <references count="1">
          <reference field="4294967294" count="1" selected="0">
            <x v="1"/>
          </reference>
        </references>
      </pivotArea>
    </chartFormat>
    <chartFormat chart="13"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D21BE1C-1BBB-4409-AC1C-4B42E2D3B96B}" name="Sentiment VS CSAT"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Sentiment">
  <location ref="D12:G18" firstHeaderRow="0" firstDataRow="1" firstDataCol="1"/>
  <pivotFields count="17">
    <pivotField dataField="1" showAll="0"/>
    <pivotField showAll="0"/>
    <pivotField axis="axisRow" showAll="0">
      <items count="6">
        <item x="1"/>
        <item x="0"/>
        <item x="3"/>
        <item x="2"/>
        <item x="4"/>
        <item t="default"/>
      </items>
    </pivotField>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4">
        <item x="0"/>
        <item x="1"/>
        <item x="2"/>
        <item t="default"/>
      </items>
    </pivotField>
    <pivotField showAll="0"/>
    <pivotField showAll="0"/>
    <pivotField showAll="0">
      <items count="5">
        <item x="1"/>
        <item x="0"/>
        <item x="2"/>
        <item x="3"/>
        <item t="default"/>
      </items>
    </pivotField>
    <pivotField showAll="0"/>
    <pivotField dataField="1" showAll="0"/>
    <pivotField showAll="0">
      <items count="5">
        <item x="3"/>
        <item x="0"/>
        <item x="2"/>
        <item x="1"/>
        <item t="default"/>
      </items>
    </pivotField>
    <pivotField showAll="0"/>
    <pivotField showAll="0">
      <items count="4">
        <item x="1"/>
        <item x="0"/>
        <item x="2"/>
        <item t="default"/>
      </items>
    </pivotField>
    <pivotField showAll="0"/>
    <pivotField showAll="0"/>
    <pivotField showAll="0">
      <items count="3">
        <item x="1"/>
        <item x="0"/>
        <item t="default"/>
      </items>
    </pivotField>
  </pivotFields>
  <rowFields count="1">
    <field x="2"/>
  </rowFields>
  <rowItems count="6">
    <i>
      <x/>
    </i>
    <i>
      <x v="1"/>
    </i>
    <i>
      <x v="2"/>
    </i>
    <i>
      <x v="3"/>
    </i>
    <i>
      <x v="4"/>
    </i>
    <i t="grand">
      <x/>
    </i>
  </rowItems>
  <colFields count="1">
    <field x="-2"/>
  </colFields>
  <colItems count="3">
    <i>
      <x/>
    </i>
    <i i="1">
      <x v="1"/>
    </i>
    <i i="2">
      <x v="2"/>
    </i>
  </colItems>
  <dataFields count="3">
    <dataField name="Calls" fld="0" subtotal="count" baseField="5" baseItem="0" numFmtId="1"/>
    <dataField name="Avg CSAT" fld="3" subtotal="average" baseField="5" baseItem="0" numFmtId="2"/>
    <dataField name="Avg Duration" fld="10" subtotal="average" baseField="5" baseItem="0" numFmtId="164"/>
  </dataFields>
  <formats count="3">
    <format dxfId="21">
      <pivotArea outline="0" collapsedLevelsAreSubtotals="1" fieldPosition="0"/>
    </format>
    <format dxfId="20">
      <pivotArea outline="0" collapsedLevelsAreSubtotals="1" fieldPosition="0">
        <references count="1">
          <reference field="4294967294" count="1" selected="0">
            <x v="2"/>
          </reference>
        </references>
      </pivotArea>
    </format>
    <format dxfId="19">
      <pivotArea outline="0" collapsedLevelsAreSubtotals="1" fieldPosition="0">
        <references count="1">
          <reference field="4294967294" count="1" selected="0">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94464AE-C92E-429F-85AA-81EFC2CD7081}" name="Calls &amp; CSAT by Reason"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3" rowHeaderCaption="Reason">
  <location ref="D6:F10" firstHeaderRow="0" firstDataRow="1" firstDataCol="1"/>
  <pivotFields count="17">
    <pivotField dataField="1" showAll="0"/>
    <pivotField showAll="0"/>
    <pivotField showAll="0">
      <items count="6">
        <item x="1"/>
        <item x="0"/>
        <item x="3"/>
        <item x="2"/>
        <item x="4"/>
        <item t="default"/>
      </items>
    </pivotField>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axis="axisRow" showAll="0" sortType="descending">
      <items count="4">
        <item x="0"/>
        <item x="1"/>
        <item x="2"/>
        <item t="default"/>
      </items>
      <autoSortScope>
        <pivotArea dataOnly="0" outline="0" fieldPosition="0">
          <references count="1">
            <reference field="4294967294" count="1" selected="0">
              <x v="1"/>
            </reference>
          </references>
        </pivotArea>
      </autoSortScope>
    </pivotField>
    <pivotField showAll="0"/>
    <pivotField showAll="0"/>
    <pivotField showAll="0">
      <items count="5">
        <item x="1"/>
        <item x="0"/>
        <item x="2"/>
        <item x="3"/>
        <item t="default"/>
      </items>
    </pivotField>
    <pivotField showAll="0"/>
    <pivotField dataField="1" showAll="0"/>
    <pivotField showAll="0">
      <items count="5">
        <item x="3"/>
        <item x="0"/>
        <item x="2"/>
        <item x="1"/>
        <item t="default"/>
      </items>
    </pivotField>
    <pivotField showAll="0"/>
    <pivotField showAll="0">
      <items count="4">
        <item x="1"/>
        <item x="0"/>
        <item x="2"/>
        <item t="default"/>
      </items>
    </pivotField>
    <pivotField showAll="0"/>
    <pivotField showAll="0"/>
    <pivotField showAll="0">
      <items count="3">
        <item x="1"/>
        <item x="0"/>
        <item t="default"/>
      </items>
    </pivotField>
  </pivotFields>
  <rowFields count="1">
    <field x="5"/>
  </rowFields>
  <rowItems count="4">
    <i>
      <x v="2"/>
    </i>
    <i>
      <x/>
    </i>
    <i>
      <x v="1"/>
    </i>
    <i t="grand">
      <x/>
    </i>
  </rowItems>
  <colFields count="1">
    <field x="-2"/>
  </colFields>
  <colItems count="2">
    <i>
      <x/>
    </i>
    <i i="1">
      <x v="1"/>
    </i>
  </colItems>
  <dataFields count="2">
    <dataField name="Calls" fld="0" subtotal="count" baseField="5" baseItem="0" numFmtId="1"/>
    <dataField name="Avg Duration" fld="10" subtotal="average" baseField="5" baseItem="2" numFmtId="164"/>
  </dataFields>
  <formats count="3">
    <format dxfId="24">
      <pivotArea outline="0" collapsedLevelsAreSubtotals="1" fieldPosition="0"/>
    </format>
    <format dxfId="23">
      <pivotArea outline="0" collapsedLevelsAreSubtotals="1" fieldPosition="0">
        <references count="1">
          <reference field="4294967294" count="1" selected="0">
            <x v="0"/>
          </reference>
        </references>
      </pivotArea>
    </format>
    <format dxfId="22">
      <pivotArea outline="0" collapsedLevelsAreSubtotals="1" fieldPosition="0">
        <references count="1">
          <reference field="4294967294" count="1" selected="0">
            <x v="1"/>
          </reference>
        </references>
      </pivotArea>
    </format>
  </formats>
  <chartFormats count="6">
    <chartFormat chart="8" format="6" series="1">
      <pivotArea type="data" outline="0" fieldPosition="0">
        <references count="1">
          <reference field="4294967294" count="1" selected="0">
            <x v="0"/>
          </reference>
        </references>
      </pivotArea>
    </chartFormat>
    <chartFormat chart="8" format="9" series="1">
      <pivotArea type="data" outline="0" fieldPosition="0">
        <references count="1">
          <reference field="4294967294" count="1" selected="0">
            <x v="1"/>
          </reference>
        </references>
      </pivotArea>
    </chartFormat>
    <chartFormat chart="21" format="6" series="1">
      <pivotArea type="data" outline="0" fieldPosition="0">
        <references count="1">
          <reference field="4294967294" count="1" selected="0">
            <x v="0"/>
          </reference>
        </references>
      </pivotArea>
    </chartFormat>
    <chartFormat chart="21" format="7" series="1">
      <pivotArea type="data" outline="0" fieldPosition="0">
        <references count="1">
          <reference field="4294967294" count="1" selected="0">
            <x v="1"/>
          </reference>
        </references>
      </pivotArea>
    </chartFormat>
    <chartFormat chart="22" format="8" series="1">
      <pivotArea type="data" outline="0" fieldPosition="0">
        <references count="1">
          <reference field="4294967294" count="1" selected="0">
            <x v="0"/>
          </reference>
        </references>
      </pivotArea>
    </chartFormat>
    <chartFormat chart="22" format="9" series="1">
      <pivotArea type="data" outline="0" fieldPosition="0">
        <references count="1">
          <reference field="4294967294" count="1" selected="0">
            <x v="1"/>
          </reference>
        </references>
      </pivotArea>
    </chartFormat>
  </chartFormats>
  <pivotTableStyleInfo name="PivotStyleMedium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57308A5-0849-4193-9781-12D83BA7DB1D}" name="Call Center Performance"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8" rowHeaderCaption="Call Center">
  <location ref="A20:B25" firstHeaderRow="1" firstDataRow="1" firstDataCol="1"/>
  <pivotFields count="17">
    <pivotField showAll="0"/>
    <pivotField showAll="0"/>
    <pivotField showAll="0">
      <items count="6">
        <item x="1"/>
        <item x="0"/>
        <item x="3"/>
        <item x="2"/>
        <item x="4"/>
        <item t="default"/>
      </items>
    </pivotField>
    <pivotField dataField="1"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4">
        <item x="0"/>
        <item x="1"/>
        <item x="2"/>
        <item t="default"/>
      </items>
    </pivotField>
    <pivotField showAll="0"/>
    <pivotField showAll="0"/>
    <pivotField showAll="0">
      <items count="5">
        <item x="1"/>
        <item x="0"/>
        <item x="2"/>
        <item x="3"/>
        <item t="default"/>
      </items>
    </pivotField>
    <pivotField showAll="0">
      <items count="4">
        <item x="2"/>
        <item x="1"/>
        <item x="0"/>
        <item t="default"/>
      </items>
    </pivotField>
    <pivotField showAll="0"/>
    <pivotField axis="axisRow" showAll="0" sortType="descending">
      <items count="5">
        <item x="3"/>
        <item x="0"/>
        <item x="2"/>
        <item x="1"/>
        <item t="default"/>
      </items>
      <autoSortScope>
        <pivotArea dataOnly="0" outline="0" fieldPosition="0">
          <references count="1">
            <reference field="4294967294" count="1" selected="0">
              <x v="0"/>
            </reference>
          </references>
        </pivotArea>
      </autoSortScope>
    </pivotField>
    <pivotField showAll="0"/>
    <pivotField showAll="0">
      <items count="4">
        <item x="1"/>
        <item x="0"/>
        <item x="2"/>
        <item t="default"/>
      </items>
    </pivotField>
    <pivotField showAll="0"/>
    <pivotField showAll="0"/>
    <pivotField showAll="0">
      <items count="3">
        <item x="1"/>
        <item x="0"/>
        <item t="default"/>
      </items>
    </pivotField>
  </pivotFields>
  <rowFields count="1">
    <field x="11"/>
  </rowFields>
  <rowItems count="5">
    <i>
      <x v="3"/>
    </i>
    <i>
      <x/>
    </i>
    <i>
      <x v="1"/>
    </i>
    <i>
      <x v="2"/>
    </i>
    <i t="grand">
      <x/>
    </i>
  </rowItems>
  <colItems count="1">
    <i/>
  </colItems>
  <dataFields count="1">
    <dataField name="Avg CSAT" fld="3" subtotal="average" baseField="9" baseItem="0" numFmtId="2"/>
  </dataFields>
  <formats count="1">
    <format dxfId="25">
      <pivotArea outline="0" collapsedLevelsAreSubtotals="1" fieldPosition="0"/>
    </format>
  </formats>
  <chartFormats count="2">
    <chartFormat chart="12" format="7"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960ECA-4D79-4049-8B81-A387515B0F9F}" name="Sentiment Group"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rowHeaderCaption="Sentiment">
  <location ref="A6:B10" firstHeaderRow="1" firstDataRow="1" firstDataCol="1"/>
  <pivotFields count="17">
    <pivotField dataField="1" showAll="0"/>
    <pivotField showAll="0"/>
    <pivotField showAll="0">
      <items count="6">
        <item x="1"/>
        <item x="0"/>
        <item x="3"/>
        <item x="2"/>
        <item x="4"/>
        <item t="default"/>
      </items>
    </pivotField>
    <pivotField showAll="0"/>
    <pivotField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4">
        <item x="0"/>
        <item x="1"/>
        <item x="2"/>
        <item t="default"/>
      </items>
    </pivotField>
    <pivotField showAll="0"/>
    <pivotField showAll="0"/>
    <pivotField showAll="0">
      <items count="5">
        <item x="1"/>
        <item x="0"/>
        <item x="2"/>
        <item x="3"/>
        <item t="default"/>
      </items>
    </pivotField>
    <pivotField showAll="0"/>
    <pivotField showAll="0"/>
    <pivotField showAll="0">
      <items count="5">
        <item x="3"/>
        <item x="0"/>
        <item x="2"/>
        <item x="1"/>
        <item t="default"/>
      </items>
    </pivotField>
    <pivotField showAll="0"/>
    <pivotField axis="axisRow" showAll="0">
      <items count="4">
        <item x="1"/>
        <item x="0"/>
        <item x="2"/>
        <item t="default"/>
      </items>
    </pivotField>
    <pivotField showAll="0"/>
    <pivotField showAll="0"/>
    <pivotField showAll="0">
      <items count="3">
        <item x="1"/>
        <item x="0"/>
        <item t="default"/>
      </items>
    </pivotField>
  </pivotFields>
  <rowFields count="1">
    <field x="13"/>
  </rowFields>
  <rowItems count="4">
    <i>
      <x/>
    </i>
    <i>
      <x v="1"/>
    </i>
    <i>
      <x v="2"/>
    </i>
    <i t="grand">
      <x/>
    </i>
  </rowItems>
  <colItems count="1">
    <i/>
  </colItems>
  <dataFields count="1">
    <dataField name="Calls" fld="0" subtotal="count" showDataAs="percentOfTotal" baseField="13" baseItem="0" numFmtId="9"/>
  </dataFields>
  <formats count="1">
    <format dxfId="26">
      <pivotArea outline="0" collapsedLevelsAreSubtotals="1" fieldPosition="0"/>
    </format>
  </formats>
  <chartFormats count="4">
    <chartFormat chart="5" format="5" series="1">
      <pivotArea type="data" outline="0" fieldPosition="0">
        <references count="1">
          <reference field="4294967294" count="1" selected="0">
            <x v="0"/>
          </reference>
        </references>
      </pivotArea>
    </chartFormat>
    <chartFormat chart="5" format="6">
      <pivotArea type="data" outline="0" fieldPosition="0">
        <references count="2">
          <reference field="4294967294" count="1" selected="0">
            <x v="0"/>
          </reference>
          <reference field="13" count="1" selected="0">
            <x v="0"/>
          </reference>
        </references>
      </pivotArea>
    </chartFormat>
    <chartFormat chart="5" format="7">
      <pivotArea type="data" outline="0" fieldPosition="0">
        <references count="2">
          <reference field="4294967294" count="1" selected="0">
            <x v="0"/>
          </reference>
          <reference field="13" count="1" selected="0">
            <x v="1"/>
          </reference>
        </references>
      </pivotArea>
    </chartFormat>
    <chartFormat chart="5" format="8">
      <pivotArea type="data" outline="0" fieldPosition="0">
        <references count="2">
          <reference field="4294967294" count="1" selected="0">
            <x v="0"/>
          </reference>
          <reference field="13" count="1" selected="0">
            <x v="2"/>
          </reference>
        </references>
      </pivotArea>
    </chartFormat>
  </chartFormats>
  <pivotTableStyleInfo name="PivotStyleMedium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CB25E5-9B5F-4DA8-85B6-4B325EAF35B1}" name="Daily Call Volume"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4" rowHeaderCaption="Call TimeStamp">
  <location ref="H6:I38" firstHeaderRow="1" firstDataRow="1" firstDataCol="1"/>
  <pivotFields count="17">
    <pivotField dataField="1" showAll="0"/>
    <pivotField showAll="0"/>
    <pivotField showAll="0">
      <items count="6">
        <item x="1"/>
        <item x="0"/>
        <item x="3"/>
        <item x="2"/>
        <item x="4"/>
        <item t="default"/>
      </items>
    </pivotField>
    <pivotField showAll="0"/>
    <pivotField axis="axisRow" numFmtId="14"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4">
        <item x="0"/>
        <item x="1"/>
        <item x="2"/>
        <item t="default"/>
      </items>
    </pivotField>
    <pivotField showAll="0"/>
    <pivotField showAll="0"/>
    <pivotField showAll="0">
      <items count="5">
        <item x="1"/>
        <item x="0"/>
        <item x="2"/>
        <item x="3"/>
        <item t="default"/>
      </items>
    </pivotField>
    <pivotField showAll="0"/>
    <pivotField showAll="0"/>
    <pivotField showAll="0">
      <items count="5">
        <item x="3"/>
        <item x="0"/>
        <item x="2"/>
        <item x="1"/>
        <item t="default"/>
      </items>
    </pivotField>
    <pivotField showAll="0"/>
    <pivotField showAll="0">
      <items count="4">
        <item x="1"/>
        <item x="0"/>
        <item x="2"/>
        <item t="default"/>
      </items>
    </pivotField>
    <pivotField showAll="0"/>
    <pivotField showAll="0"/>
    <pivotField showAll="0">
      <items count="3">
        <item x="1"/>
        <item x="0"/>
        <item t="default"/>
      </items>
    </pivotField>
  </pivotFields>
  <rowFields count="1">
    <field x="4"/>
  </rowFields>
  <rowItems count="32">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t="grand">
      <x/>
    </i>
  </rowItems>
  <colItems count="1">
    <i/>
  </colItems>
  <dataFields count="1">
    <dataField name="Calls" fld="0" subtotal="count" baseField="2" baseItem="0"/>
  </dataFields>
  <chartFormats count="3">
    <chartFormat chart="12" format="0" series="1">
      <pivotArea type="data" outline="0" fieldPosition="0">
        <references count="1">
          <reference field="4294967294" count="1" selected="0">
            <x v="0"/>
          </reference>
        </references>
      </pivotArea>
    </chartFormat>
    <chartFormat chart="31" format="0" series="1">
      <pivotArea type="data" outline="0" fieldPosition="0">
        <references count="1">
          <reference field="4294967294" count="1" selected="0">
            <x v="0"/>
          </reference>
        </references>
      </pivotArea>
    </chartFormat>
    <chartFormat chart="33" format="2" series="1">
      <pivotArea type="data" outline="0" fieldPosition="0">
        <references count="1">
          <reference field="4294967294" count="1" selected="0">
            <x v="0"/>
          </reference>
        </references>
      </pivotArea>
    </chartFormat>
  </chartFormats>
  <pivotTableStyleInfo name="PivotStyleMedium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timent_Group" xr10:uid="{2FE0EC0C-6CC9-4A9D-BADE-D208103F2085}" sourceName="Sentiment Group">
  <pivotTables>
    <pivotTable tabId="5" name="Sentiment Group"/>
    <pivotTable tabId="5" name="Call Center Performance"/>
    <pivotTable tabId="5" name="Calls &amp; CSAT by Reason"/>
    <pivotTable tabId="5" name="Daily Call Volume"/>
    <pivotTable tabId="5" name="Sentiment VS CSAT"/>
    <pivotTable tabId="5" name="PivotTable2"/>
    <pivotTable tabId="5" name="PivotTable3"/>
  </pivotTables>
  <data>
    <tabular pivotCacheId="974951683">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annel" xr10:uid="{C50E0DE2-AB94-48DF-8C5F-F012971F6B10}" sourceName="Channel">
  <pivotTables>
    <pivotTable tabId="5" name="Call Center Performance"/>
    <pivotTable tabId="5" name="Calls &amp; CSAT by Reason"/>
    <pivotTable tabId="5" name="Daily Call Volume"/>
    <pivotTable tabId="5" name="Sentiment Group"/>
    <pivotTable tabId="5" name="Sentiment VS CSAT"/>
    <pivotTable tabId="5" name="PivotTable2"/>
    <pivotTable tabId="5" name="PivotTable3"/>
  </pivotTables>
  <data>
    <tabular pivotCacheId="974951683">
      <items count="4">
        <i x="1" s="1"/>
        <i x="0"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ason" xr10:uid="{0E9E7FE4-42BD-4946-A7D0-DAA539C4E824}" sourceName="Reason">
  <pivotTables>
    <pivotTable tabId="5" name="Calls &amp; CSAT by Reason"/>
    <pivotTable tabId="5" name="Call Center Performance"/>
    <pivotTable tabId="5" name="Daily Call Volume"/>
    <pivotTable tabId="5" name="Sentiment Group"/>
    <pivotTable tabId="5" name="Sentiment VS CSAT"/>
    <pivotTable tabId="5" name="PivotTable2"/>
    <pivotTable tabId="5" name="PivotTable3"/>
  </pivotTables>
  <data>
    <tabular pivotCacheId="97495168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l_Center" xr10:uid="{0EA56141-EE42-4EBE-81FE-A376662B5C57}" sourceName="Call Center">
  <pivotTables>
    <pivotTable tabId="5" name="Call Center Performance"/>
    <pivotTable tabId="5" name="Calls &amp; CSAT by Reason"/>
    <pivotTable tabId="5" name="Daily Call Volume"/>
    <pivotTable tabId="5" name="Sentiment Group"/>
    <pivotTable tabId="5" name="Sentiment VS CSAT"/>
    <pivotTable tabId="5" name="PivotTable2"/>
    <pivotTable tabId="5" name="PivotTable3"/>
  </pivotTables>
  <data>
    <tabular pivotCacheId="974951683">
      <items count="4">
        <i x="3" s="1"/>
        <i x="0"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LA_Status" xr10:uid="{B7FD28D0-C453-4F44-B725-C319D3704CD1}" sourceName="SLA Status">
  <pivotTables>
    <pivotTable tabId="5" name="Call Center Performance"/>
    <pivotTable tabId="5" name="Calls &amp; CSAT by Reason"/>
    <pivotTable tabId="5" name="Daily Call Volume"/>
    <pivotTable tabId="5" name="Sentiment Group"/>
    <pivotTable tabId="5" name="Sentiment VS CSAT"/>
    <pivotTable tabId="5" name="PivotTable2"/>
    <pivotTable tabId="5" name="PivotTable3"/>
  </pivotTables>
  <data>
    <tabular pivotCacheId="974951683">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ntiment Group" xr10:uid="{41CB79DC-4744-4C70-B4AD-0E503A2CF726}" cache="Slicer_Sentiment_Group" caption="Sentiment Group" style="SlicerStyleLight6" rowHeight="241300"/>
  <slicer name="Channel" xr10:uid="{3126F17F-32B6-456B-870A-6B414205CC00}" cache="Slicer_Channel" caption="Channel" style="SlicerStyleDark4" rowHeight="241300"/>
  <slicer name="Reason" xr10:uid="{BD6AE47F-0AB9-4661-A9C4-7B739C675404}" cache="Slicer_Reason" caption="Reason" style="SlicerStyleDark3" rowHeight="241300"/>
  <slicer name="Call Center" xr10:uid="{3392EC65-EE11-4005-95BB-668FC0116312}" cache="Slicer_Call_Center" caption="Call Center" style="SlicerStyleDark6" rowHeight="241300"/>
  <slicer name="SLA Status" xr10:uid="{EAC86EA9-8633-42F5-A2CC-43BE4D971484}" cache="Slicer_SLA_Status" caption="SLA Status" style="SlicerStyleDark1" rowHeight="241300"/>
</slicers>
</file>

<file path=xl/theme/theme1.xml><?xml version="1.0" encoding="utf-8"?>
<a:theme xmlns:a="http://schemas.openxmlformats.org/drawingml/2006/main" name="Metropolitan">
  <a:themeElements>
    <a:clrScheme name="Metropolitan">
      <a:dk1>
        <a:sysClr val="windowText" lastClr="000000"/>
      </a:dk1>
      <a:lt1>
        <a:sysClr val="window" lastClr="FFFFFF"/>
      </a:lt1>
      <a:dk2>
        <a:srgbClr val="162F33"/>
      </a:dk2>
      <a:lt2>
        <a:srgbClr val="EAF0E0"/>
      </a:lt2>
      <a:accent1>
        <a:srgbClr val="50B4C8"/>
      </a:accent1>
      <a:accent2>
        <a:srgbClr val="A8B97F"/>
      </a:accent2>
      <a:accent3>
        <a:srgbClr val="9B9256"/>
      </a:accent3>
      <a:accent4>
        <a:srgbClr val="657689"/>
      </a:accent4>
      <a:accent5>
        <a:srgbClr val="7A855D"/>
      </a:accent5>
      <a:accent6>
        <a:srgbClr val="84AC9D"/>
      </a:accent6>
      <a:hlink>
        <a:srgbClr val="2370CD"/>
      </a:hlink>
      <a:folHlink>
        <a:srgbClr val="877589"/>
      </a:folHlink>
    </a:clrScheme>
    <a:fontScheme name="Metropolitan">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inorFont>
    </a:fontScheme>
    <a:fmtScheme name="Metropolitan">
      <a:fillStyleLst>
        <a:solidFill>
          <a:schemeClr val="phClr"/>
        </a:solidFill>
        <a:gradFill rotWithShape="1">
          <a:gsLst>
            <a:gs pos="0">
              <a:schemeClr val="phClr">
                <a:tint val="70000"/>
                <a:satMod val="100000"/>
                <a:lumMod val="110000"/>
              </a:schemeClr>
            </a:gs>
            <a:gs pos="50000">
              <a:schemeClr val="phClr">
                <a:tint val="75000"/>
                <a:satMod val="101000"/>
                <a:lumMod val="105000"/>
              </a:schemeClr>
            </a:gs>
            <a:gs pos="100000">
              <a:schemeClr val="phClr">
                <a:tint val="82000"/>
                <a:satMod val="104000"/>
                <a:lumMod val="105000"/>
              </a:schemeClr>
            </a:gs>
          </a:gsLst>
          <a:lin ang="2700000" scaled="0"/>
        </a:gradFill>
        <a:gradFill rotWithShape="1">
          <a:gsLst>
            <a:gs pos="0">
              <a:schemeClr val="phClr">
                <a:tint val="97000"/>
                <a:satMod val="100000"/>
                <a:lumMod val="102000"/>
              </a:schemeClr>
            </a:gs>
            <a:gs pos="50000">
              <a:schemeClr val="phClr">
                <a:shade val="100000"/>
                <a:satMod val="100000"/>
                <a:lumMod val="100000"/>
              </a:schemeClr>
            </a:gs>
            <a:gs pos="100000">
              <a:schemeClr val="phClr">
                <a:shade val="80000"/>
                <a:satMod val="100000"/>
                <a:lumMod val="99000"/>
              </a:schemeClr>
            </a:gs>
          </a:gsLst>
          <a:lin ang="27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solidFill>
          <a:schemeClr val="phClr">
            <a:shade val="95000"/>
            <a:satMod val="170000"/>
          </a:schemeClr>
        </a:solidFill>
      </a:bgFillStyleLst>
    </a:fmtScheme>
  </a:themeElements>
  <a:objectDefaults/>
  <a:extraClrSchemeLst/>
  <a:extLst>
    <a:ext uri="{05A4C25C-085E-4340-85A3-A5531E510DB2}">
      <thm15:themeFamily xmlns:thm15="http://schemas.microsoft.com/office/thememl/2012/main" name="Metropolitan" id="{4C5440D6-04D2-4954-96CF-F251137069B2}" vid="{79CFCA13-9412-4290-BB4B-85112F88857B}"/>
    </a:ext>
  </a:extLst>
</a:theme>
</file>

<file path=xl/worksheets/_rels/sheet3.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4A715-4477-4FBA-B91C-8E6D607270F7}">
  <dimension ref="B2:N76"/>
  <sheetViews>
    <sheetView showGridLines="0" topLeftCell="I1" workbookViewId="0">
      <selection activeCell="P11" sqref="P11"/>
    </sheetView>
  </sheetViews>
  <sheetFormatPr defaultColWidth="9" defaultRowHeight="14.5" x14ac:dyDescent="0.35"/>
  <cols>
    <col min="1" max="1" width="3.7265625" style="2" customWidth="1"/>
    <col min="2" max="2" width="15.08984375" style="2" customWidth="1"/>
    <col min="3" max="3" width="21.08984375" style="2" customWidth="1"/>
    <col min="4" max="4" width="13.7265625" style="2" customWidth="1"/>
    <col min="5" max="5" width="8.6328125" style="2" customWidth="1"/>
    <col min="6" max="6" width="14.7265625" style="2" customWidth="1"/>
    <col min="7" max="7" width="15.36328125" style="2" customWidth="1"/>
    <col min="8" max="8" width="17.08984375" style="2" customWidth="1"/>
    <col min="9" max="9" width="18.7265625" style="2" customWidth="1"/>
    <col min="10" max="10" width="11.08984375" style="2" customWidth="1"/>
    <col min="11" max="11" width="14.453125" style="2" customWidth="1"/>
    <col min="12" max="12" width="14" style="2" customWidth="1"/>
    <col min="13" max="13" width="15" style="2" customWidth="1"/>
    <col min="14" max="14" width="10.453125" style="2" customWidth="1"/>
    <col min="15" max="16384" width="9" style="2"/>
  </cols>
  <sheetData>
    <row r="2" spans="2:14" ht="19" thickBot="1" x14ac:dyDescent="0.4">
      <c r="B2" s="1" t="s">
        <v>0</v>
      </c>
      <c r="C2" s="1"/>
      <c r="D2" s="1"/>
      <c r="E2" s="1"/>
      <c r="F2" s="1"/>
      <c r="G2" s="1"/>
      <c r="H2" s="1"/>
      <c r="I2" s="1"/>
      <c r="J2" s="1"/>
      <c r="K2" s="1"/>
      <c r="L2" s="1"/>
      <c r="M2" s="1"/>
    </row>
    <row r="4" spans="2:14" ht="19" thickBot="1" x14ac:dyDescent="0.4">
      <c r="B4" s="3" t="s">
        <v>1</v>
      </c>
      <c r="C4" s="1"/>
      <c r="D4" s="1"/>
      <c r="E4" s="1"/>
      <c r="F4" s="1"/>
      <c r="G4" s="1"/>
      <c r="H4" s="1"/>
      <c r="I4" s="1"/>
      <c r="J4" s="1"/>
      <c r="K4" s="1"/>
      <c r="L4" s="1"/>
      <c r="M4" s="1"/>
    </row>
    <row r="6" spans="2:14" ht="33.75" customHeight="1" x14ac:dyDescent="0.35">
      <c r="B6" s="4" t="s">
        <v>2</v>
      </c>
      <c r="C6" s="4" t="s">
        <v>3</v>
      </c>
      <c r="D6" s="4" t="s">
        <v>4</v>
      </c>
      <c r="E6" s="4" t="s">
        <v>5</v>
      </c>
      <c r="F6" s="4" t="s">
        <v>6</v>
      </c>
      <c r="G6" s="4" t="s">
        <v>7</v>
      </c>
      <c r="H6" s="4" t="s">
        <v>8</v>
      </c>
      <c r="I6" s="4" t="s">
        <v>9</v>
      </c>
      <c r="J6" s="4" t="s">
        <v>10</v>
      </c>
      <c r="K6" s="4" t="s">
        <v>11</v>
      </c>
      <c r="L6" s="4" t="s">
        <v>12</v>
      </c>
      <c r="M6" s="4" t="s">
        <v>13</v>
      </c>
    </row>
    <row r="7" spans="2:14" x14ac:dyDescent="0.35">
      <c r="B7" s="5" t="s">
        <v>14</v>
      </c>
      <c r="C7" s="5" t="s">
        <v>15</v>
      </c>
      <c r="D7" s="5" t="s">
        <v>16</v>
      </c>
      <c r="E7" s="5">
        <v>8</v>
      </c>
      <c r="F7" s="6">
        <v>45292</v>
      </c>
      <c r="G7" s="5" t="s">
        <v>17</v>
      </c>
      <c r="H7" s="5" t="s">
        <v>18</v>
      </c>
      <c r="I7" s="5" t="s">
        <v>19</v>
      </c>
      <c r="J7" s="5" t="s">
        <v>20</v>
      </c>
      <c r="K7" s="5" t="s">
        <v>21</v>
      </c>
      <c r="L7" s="5">
        <v>14</v>
      </c>
      <c r="M7" s="5" t="s">
        <v>22</v>
      </c>
      <c r="N7" s="7"/>
    </row>
    <row r="8" spans="2:14" x14ac:dyDescent="0.35">
      <c r="B8" s="5" t="s">
        <v>23</v>
      </c>
      <c r="C8" s="5" t="s">
        <v>24</v>
      </c>
      <c r="D8" s="5" t="s">
        <v>25</v>
      </c>
      <c r="E8" s="5">
        <v>5</v>
      </c>
      <c r="F8" s="6">
        <v>45292</v>
      </c>
      <c r="G8" s="5" t="s">
        <v>17</v>
      </c>
      <c r="H8" s="5" t="s">
        <v>26</v>
      </c>
      <c r="I8" s="5" t="s">
        <v>27</v>
      </c>
      <c r="J8" s="5" t="s">
        <v>28</v>
      </c>
      <c r="K8" s="5" t="s">
        <v>21</v>
      </c>
      <c r="L8" s="5">
        <v>32</v>
      </c>
      <c r="M8" s="5" t="s">
        <v>29</v>
      </c>
      <c r="N8" s="7"/>
    </row>
    <row r="9" spans="2:14" x14ac:dyDescent="0.35">
      <c r="B9" s="5" t="s">
        <v>30</v>
      </c>
      <c r="C9" s="5" t="s">
        <v>31</v>
      </c>
      <c r="D9" s="5" t="s">
        <v>25</v>
      </c>
      <c r="E9" s="5">
        <v>3</v>
      </c>
      <c r="F9" s="6">
        <v>45293</v>
      </c>
      <c r="G9" s="5" t="s">
        <v>17</v>
      </c>
      <c r="H9" s="5" t="s">
        <v>32</v>
      </c>
      <c r="I9" s="5" t="s">
        <v>33</v>
      </c>
      <c r="J9" s="5" t="s">
        <v>20</v>
      </c>
      <c r="K9" s="5" t="s">
        <v>21</v>
      </c>
      <c r="L9" s="5">
        <v>6</v>
      </c>
      <c r="M9" s="5" t="s">
        <v>34</v>
      </c>
      <c r="N9" s="7"/>
    </row>
    <row r="10" spans="2:14" x14ac:dyDescent="0.35">
      <c r="B10" s="5" t="s">
        <v>35</v>
      </c>
      <c r="C10" s="5" t="s">
        <v>36</v>
      </c>
      <c r="D10" s="5" t="s">
        <v>37</v>
      </c>
      <c r="E10" s="5">
        <v>4</v>
      </c>
      <c r="F10" s="6">
        <v>45293</v>
      </c>
      <c r="G10" s="5" t="s">
        <v>17</v>
      </c>
      <c r="H10" s="5" t="s">
        <v>38</v>
      </c>
      <c r="I10" s="5" t="s">
        <v>39</v>
      </c>
      <c r="J10" s="5" t="s">
        <v>40</v>
      </c>
      <c r="K10" s="5" t="s">
        <v>41</v>
      </c>
      <c r="L10" s="5">
        <v>26</v>
      </c>
      <c r="M10" s="5" t="s">
        <v>29</v>
      </c>
      <c r="N10" s="7"/>
    </row>
    <row r="11" spans="2:14" x14ac:dyDescent="0.35">
      <c r="B11" s="5" t="s">
        <v>42</v>
      </c>
      <c r="C11" s="5" t="s">
        <v>43</v>
      </c>
      <c r="D11" s="5" t="s">
        <v>44</v>
      </c>
      <c r="E11" s="5">
        <v>8</v>
      </c>
      <c r="F11" s="6">
        <v>45293</v>
      </c>
      <c r="G11" s="5" t="s">
        <v>17</v>
      </c>
      <c r="H11" s="5" t="s">
        <v>45</v>
      </c>
      <c r="I11" s="5" t="s">
        <v>46</v>
      </c>
      <c r="J11" s="5" t="s">
        <v>47</v>
      </c>
      <c r="K11" s="5" t="s">
        <v>21</v>
      </c>
      <c r="L11" s="5">
        <v>26</v>
      </c>
      <c r="M11" s="5" t="s">
        <v>29</v>
      </c>
      <c r="N11" s="7"/>
    </row>
    <row r="12" spans="2:14" x14ac:dyDescent="0.35">
      <c r="B12" s="5" t="s">
        <v>48</v>
      </c>
      <c r="C12" s="5" t="s">
        <v>49</v>
      </c>
      <c r="D12" s="5" t="s">
        <v>37</v>
      </c>
      <c r="E12" s="5">
        <v>4</v>
      </c>
      <c r="F12" s="6">
        <v>45294</v>
      </c>
      <c r="G12" s="5" t="s">
        <v>17</v>
      </c>
      <c r="H12" s="5" t="s">
        <v>18</v>
      </c>
      <c r="I12" s="5" t="s">
        <v>50</v>
      </c>
      <c r="J12" s="5" t="s">
        <v>47</v>
      </c>
      <c r="K12" s="5" t="s">
        <v>21</v>
      </c>
      <c r="L12" s="5">
        <v>6</v>
      </c>
      <c r="M12" s="5" t="s">
        <v>51</v>
      </c>
      <c r="N12" s="7"/>
    </row>
    <row r="13" spans="2:14" x14ac:dyDescent="0.35">
      <c r="B13" s="5" t="s">
        <v>52</v>
      </c>
      <c r="C13" s="5" t="s">
        <v>53</v>
      </c>
      <c r="D13" s="5" t="s">
        <v>54</v>
      </c>
      <c r="E13" s="5">
        <v>10</v>
      </c>
      <c r="F13" s="6">
        <v>45294</v>
      </c>
      <c r="G13" s="5" t="s">
        <v>55</v>
      </c>
      <c r="H13" s="5" t="s">
        <v>56</v>
      </c>
      <c r="I13" s="5" t="s">
        <v>39</v>
      </c>
      <c r="J13" s="5" t="s">
        <v>28</v>
      </c>
      <c r="K13" s="5" t="s">
        <v>21</v>
      </c>
      <c r="L13" s="5">
        <v>9</v>
      </c>
      <c r="M13" s="5" t="s">
        <v>29</v>
      </c>
      <c r="N13" s="7"/>
    </row>
    <row r="14" spans="2:14" x14ac:dyDescent="0.35">
      <c r="B14" s="5" t="s">
        <v>57</v>
      </c>
      <c r="C14" s="5" t="s">
        <v>58</v>
      </c>
      <c r="D14" s="5" t="s">
        <v>25</v>
      </c>
      <c r="E14" s="5">
        <v>3</v>
      </c>
      <c r="F14" s="6">
        <v>45295</v>
      </c>
      <c r="G14" s="5" t="s">
        <v>17</v>
      </c>
      <c r="H14" s="5" t="s">
        <v>59</v>
      </c>
      <c r="I14" s="5" t="s">
        <v>60</v>
      </c>
      <c r="J14" s="5" t="s">
        <v>28</v>
      </c>
      <c r="K14" s="5" t="s">
        <v>21</v>
      </c>
      <c r="L14" s="5">
        <v>15</v>
      </c>
      <c r="M14" s="5" t="s">
        <v>51</v>
      </c>
      <c r="N14" s="7"/>
    </row>
    <row r="15" spans="2:14" x14ac:dyDescent="0.35">
      <c r="B15" s="5" t="s">
        <v>61</v>
      </c>
      <c r="C15" s="5" t="s">
        <v>62</v>
      </c>
      <c r="D15" s="5" t="s">
        <v>25</v>
      </c>
      <c r="E15" s="5">
        <v>3</v>
      </c>
      <c r="F15" s="6">
        <v>45295</v>
      </c>
      <c r="G15" s="5" t="s">
        <v>17</v>
      </c>
      <c r="H15" s="5" t="s">
        <v>63</v>
      </c>
      <c r="I15" s="5" t="s">
        <v>64</v>
      </c>
      <c r="J15" s="5" t="s">
        <v>47</v>
      </c>
      <c r="K15" s="5" t="s">
        <v>21</v>
      </c>
      <c r="L15" s="5">
        <v>12</v>
      </c>
      <c r="M15" s="5" t="s">
        <v>29</v>
      </c>
      <c r="N15" s="7"/>
    </row>
    <row r="16" spans="2:14" x14ac:dyDescent="0.35">
      <c r="B16" s="5" t="s">
        <v>65</v>
      </c>
      <c r="C16" s="5" t="s">
        <v>66</v>
      </c>
      <c r="D16" s="5" t="s">
        <v>25</v>
      </c>
      <c r="E16" s="5">
        <v>6</v>
      </c>
      <c r="F16" s="6">
        <v>45296</v>
      </c>
      <c r="G16" s="5" t="s">
        <v>17</v>
      </c>
      <c r="H16" s="5" t="s">
        <v>67</v>
      </c>
      <c r="I16" s="5" t="s">
        <v>33</v>
      </c>
      <c r="J16" s="5" t="s">
        <v>47</v>
      </c>
      <c r="K16" s="5" t="s">
        <v>21</v>
      </c>
      <c r="L16" s="5">
        <v>42</v>
      </c>
      <c r="M16" s="5" t="s">
        <v>29</v>
      </c>
      <c r="N16" s="7"/>
    </row>
    <row r="17" spans="2:14" x14ac:dyDescent="0.35">
      <c r="B17" s="5" t="s">
        <v>68</v>
      </c>
      <c r="C17" s="5" t="s">
        <v>69</v>
      </c>
      <c r="D17" s="5" t="s">
        <v>25</v>
      </c>
      <c r="E17" s="5">
        <v>3</v>
      </c>
      <c r="F17" s="6">
        <v>45296</v>
      </c>
      <c r="G17" s="5" t="s">
        <v>17</v>
      </c>
      <c r="H17" s="5" t="s">
        <v>70</v>
      </c>
      <c r="I17" s="5" t="s">
        <v>71</v>
      </c>
      <c r="J17" s="5" t="s">
        <v>20</v>
      </c>
      <c r="K17" s="5" t="s">
        <v>72</v>
      </c>
      <c r="L17" s="5">
        <v>44</v>
      </c>
      <c r="M17" s="5" t="s">
        <v>51</v>
      </c>
      <c r="N17" s="7"/>
    </row>
    <row r="18" spans="2:14" x14ac:dyDescent="0.35">
      <c r="B18" s="5" t="s">
        <v>73</v>
      </c>
      <c r="C18" s="5" t="s">
        <v>74</v>
      </c>
      <c r="D18" s="5" t="s">
        <v>16</v>
      </c>
      <c r="E18" s="5">
        <v>7</v>
      </c>
      <c r="F18" s="6">
        <v>45297</v>
      </c>
      <c r="G18" s="5" t="s">
        <v>17</v>
      </c>
      <c r="H18" s="5" t="s">
        <v>75</v>
      </c>
      <c r="I18" s="5" t="s">
        <v>19</v>
      </c>
      <c r="J18" s="5" t="s">
        <v>20</v>
      </c>
      <c r="K18" s="5" t="s">
        <v>21</v>
      </c>
      <c r="L18" s="5">
        <v>29</v>
      </c>
      <c r="M18" s="5" t="s">
        <v>51</v>
      </c>
      <c r="N18" s="7"/>
    </row>
    <row r="19" spans="2:14" x14ac:dyDescent="0.35">
      <c r="B19" s="5" t="s">
        <v>76</v>
      </c>
      <c r="C19" s="5" t="s">
        <v>77</v>
      </c>
      <c r="D19" s="5" t="s">
        <v>25</v>
      </c>
      <c r="E19" s="5">
        <v>5</v>
      </c>
      <c r="F19" s="6">
        <v>45297</v>
      </c>
      <c r="G19" s="5" t="s">
        <v>17</v>
      </c>
      <c r="H19" s="5" t="s">
        <v>78</v>
      </c>
      <c r="I19" s="5" t="s">
        <v>79</v>
      </c>
      <c r="J19" s="5" t="s">
        <v>20</v>
      </c>
      <c r="K19" s="5" t="s">
        <v>21</v>
      </c>
      <c r="L19" s="5">
        <v>35</v>
      </c>
      <c r="M19" s="5" t="s">
        <v>51</v>
      </c>
      <c r="N19" s="7"/>
    </row>
    <row r="20" spans="2:14" x14ac:dyDescent="0.35">
      <c r="B20" s="5" t="s">
        <v>80</v>
      </c>
      <c r="C20" s="5" t="s">
        <v>81</v>
      </c>
      <c r="D20" s="5" t="s">
        <v>37</v>
      </c>
      <c r="E20" s="5">
        <v>2</v>
      </c>
      <c r="F20" s="6">
        <v>45298</v>
      </c>
      <c r="G20" s="5" t="s">
        <v>17</v>
      </c>
      <c r="H20" s="5" t="s">
        <v>82</v>
      </c>
      <c r="I20" s="5" t="s">
        <v>83</v>
      </c>
      <c r="J20" s="5" t="s">
        <v>47</v>
      </c>
      <c r="K20" s="5" t="s">
        <v>21</v>
      </c>
      <c r="L20" s="5">
        <v>30</v>
      </c>
      <c r="M20" s="5" t="s">
        <v>29</v>
      </c>
      <c r="N20" s="7"/>
    </row>
    <row r="21" spans="2:14" x14ac:dyDescent="0.35">
      <c r="B21" s="5" t="s">
        <v>84</v>
      </c>
      <c r="C21" s="5" t="s">
        <v>85</v>
      </c>
      <c r="D21" s="5" t="s">
        <v>25</v>
      </c>
      <c r="E21" s="5">
        <v>6</v>
      </c>
      <c r="F21" s="6">
        <v>45298</v>
      </c>
      <c r="G21" s="5" t="s">
        <v>55</v>
      </c>
      <c r="H21" s="5" t="s">
        <v>86</v>
      </c>
      <c r="I21" s="5" t="s">
        <v>87</v>
      </c>
      <c r="J21" s="5" t="s">
        <v>28</v>
      </c>
      <c r="K21" s="5" t="s">
        <v>21</v>
      </c>
      <c r="L21" s="5">
        <v>29</v>
      </c>
      <c r="M21" s="5" t="s">
        <v>29</v>
      </c>
      <c r="N21" s="7"/>
    </row>
    <row r="22" spans="2:14" x14ac:dyDescent="0.35">
      <c r="B22" s="5" t="s">
        <v>88</v>
      </c>
      <c r="C22" s="5" t="s">
        <v>89</v>
      </c>
      <c r="D22" s="5" t="s">
        <v>44</v>
      </c>
      <c r="E22" s="5">
        <v>9</v>
      </c>
      <c r="F22" s="6">
        <v>45299</v>
      </c>
      <c r="G22" s="5" t="s">
        <v>55</v>
      </c>
      <c r="H22" s="5" t="s">
        <v>90</v>
      </c>
      <c r="I22" s="5" t="s">
        <v>71</v>
      </c>
      <c r="J22" s="5" t="s">
        <v>28</v>
      </c>
      <c r="K22" s="5" t="s">
        <v>21</v>
      </c>
      <c r="L22" s="5">
        <v>9</v>
      </c>
      <c r="M22" s="5" t="s">
        <v>51</v>
      </c>
      <c r="N22" s="7"/>
    </row>
    <row r="23" spans="2:14" x14ac:dyDescent="0.35">
      <c r="B23" s="5" t="s">
        <v>91</v>
      </c>
      <c r="C23" s="5" t="s">
        <v>92</v>
      </c>
      <c r="D23" s="5" t="s">
        <v>54</v>
      </c>
      <c r="E23" s="5">
        <v>9</v>
      </c>
      <c r="F23" s="6">
        <v>45299</v>
      </c>
      <c r="G23" s="5" t="s">
        <v>17</v>
      </c>
      <c r="H23" s="5" t="s">
        <v>93</v>
      </c>
      <c r="I23" s="5" t="s">
        <v>94</v>
      </c>
      <c r="J23" s="5" t="s">
        <v>20</v>
      </c>
      <c r="K23" s="5" t="s">
        <v>21</v>
      </c>
      <c r="L23" s="5">
        <v>8</v>
      </c>
      <c r="M23" s="5" t="s">
        <v>29</v>
      </c>
      <c r="N23" s="7"/>
    </row>
    <row r="24" spans="2:14" x14ac:dyDescent="0.35">
      <c r="B24" s="5" t="s">
        <v>95</v>
      </c>
      <c r="C24" s="5" t="s">
        <v>96</v>
      </c>
      <c r="D24" s="5" t="s">
        <v>37</v>
      </c>
      <c r="E24" s="5">
        <v>3</v>
      </c>
      <c r="F24" s="6">
        <v>45299</v>
      </c>
      <c r="G24" s="5" t="s">
        <v>17</v>
      </c>
      <c r="H24" s="5" t="s">
        <v>97</v>
      </c>
      <c r="I24" s="5" t="s">
        <v>98</v>
      </c>
      <c r="J24" s="5" t="s">
        <v>20</v>
      </c>
      <c r="K24" s="5" t="s">
        <v>72</v>
      </c>
      <c r="L24" s="5">
        <v>35</v>
      </c>
      <c r="M24" s="5" t="s">
        <v>22</v>
      </c>
      <c r="N24" s="7"/>
    </row>
    <row r="25" spans="2:14" x14ac:dyDescent="0.35">
      <c r="B25" s="5" t="s">
        <v>99</v>
      </c>
      <c r="C25" s="5" t="s">
        <v>100</v>
      </c>
      <c r="D25" s="5" t="s">
        <v>44</v>
      </c>
      <c r="E25" s="5">
        <v>7</v>
      </c>
      <c r="F25" s="6">
        <v>45299</v>
      </c>
      <c r="G25" s="5" t="s">
        <v>17</v>
      </c>
      <c r="H25" s="5" t="s">
        <v>101</v>
      </c>
      <c r="I25" s="5" t="s">
        <v>102</v>
      </c>
      <c r="J25" s="5" t="s">
        <v>47</v>
      </c>
      <c r="K25" s="5" t="s">
        <v>21</v>
      </c>
      <c r="L25" s="5">
        <v>20</v>
      </c>
      <c r="M25" s="5" t="s">
        <v>51</v>
      </c>
      <c r="N25" s="7"/>
    </row>
    <row r="26" spans="2:14" x14ac:dyDescent="0.35">
      <c r="B26" s="5" t="s">
        <v>103</v>
      </c>
      <c r="C26" s="5" t="s">
        <v>104</v>
      </c>
      <c r="D26" s="5" t="s">
        <v>25</v>
      </c>
      <c r="E26" s="5">
        <v>3</v>
      </c>
      <c r="F26" s="6">
        <v>45300</v>
      </c>
      <c r="G26" s="5" t="s">
        <v>17</v>
      </c>
      <c r="H26" s="5" t="s">
        <v>105</v>
      </c>
      <c r="I26" s="5" t="s">
        <v>106</v>
      </c>
      <c r="J26" s="5" t="s">
        <v>47</v>
      </c>
      <c r="K26" s="5" t="s">
        <v>21</v>
      </c>
      <c r="L26" s="5">
        <v>31</v>
      </c>
      <c r="M26" s="5" t="s">
        <v>29</v>
      </c>
      <c r="N26" s="7"/>
    </row>
    <row r="27" spans="2:14" x14ac:dyDescent="0.35">
      <c r="B27" s="5" t="s">
        <v>107</v>
      </c>
      <c r="C27" s="5" t="s">
        <v>108</v>
      </c>
      <c r="D27" s="5" t="s">
        <v>16</v>
      </c>
      <c r="E27" s="5">
        <v>5</v>
      </c>
      <c r="F27" s="6">
        <v>45300</v>
      </c>
      <c r="G27" s="5" t="s">
        <v>17</v>
      </c>
      <c r="H27" s="5" t="s">
        <v>109</v>
      </c>
      <c r="I27" s="5" t="s">
        <v>39</v>
      </c>
      <c r="J27" s="5" t="s">
        <v>40</v>
      </c>
      <c r="K27" s="5" t="s">
        <v>41</v>
      </c>
      <c r="L27" s="5">
        <v>39</v>
      </c>
      <c r="M27" s="5" t="s">
        <v>29</v>
      </c>
      <c r="N27" s="7"/>
    </row>
    <row r="28" spans="2:14" x14ac:dyDescent="0.35">
      <c r="B28" s="5" t="s">
        <v>110</v>
      </c>
      <c r="C28" s="5" t="s">
        <v>111</v>
      </c>
      <c r="D28" s="5" t="s">
        <v>25</v>
      </c>
      <c r="E28" s="5">
        <v>3</v>
      </c>
      <c r="F28" s="6">
        <v>45301</v>
      </c>
      <c r="G28" s="5" t="s">
        <v>17</v>
      </c>
      <c r="H28" s="5" t="s">
        <v>112</v>
      </c>
      <c r="I28" s="5" t="s">
        <v>33</v>
      </c>
      <c r="J28" s="5" t="s">
        <v>28</v>
      </c>
      <c r="K28" s="5" t="s">
        <v>21</v>
      </c>
      <c r="L28" s="5">
        <v>38</v>
      </c>
      <c r="M28" s="5" t="s">
        <v>34</v>
      </c>
      <c r="N28" s="7"/>
    </row>
    <row r="29" spans="2:14" x14ac:dyDescent="0.35">
      <c r="B29" s="5" t="s">
        <v>113</v>
      </c>
      <c r="C29" s="5" t="s">
        <v>114</v>
      </c>
      <c r="D29" s="5" t="s">
        <v>25</v>
      </c>
      <c r="E29" s="5">
        <v>4</v>
      </c>
      <c r="F29" s="6">
        <v>45301</v>
      </c>
      <c r="G29" s="5" t="s">
        <v>17</v>
      </c>
      <c r="H29" s="5" t="s">
        <v>115</v>
      </c>
      <c r="I29" s="5" t="s">
        <v>71</v>
      </c>
      <c r="J29" s="5" t="s">
        <v>28</v>
      </c>
      <c r="K29" s="5" t="s">
        <v>72</v>
      </c>
      <c r="L29" s="5">
        <v>44</v>
      </c>
      <c r="M29" s="5" t="s">
        <v>34</v>
      </c>
      <c r="N29" s="7"/>
    </row>
    <row r="30" spans="2:14" x14ac:dyDescent="0.35">
      <c r="B30" s="5" t="s">
        <v>116</v>
      </c>
      <c r="C30" s="5" t="s">
        <v>117</v>
      </c>
      <c r="D30" s="5" t="s">
        <v>37</v>
      </c>
      <c r="E30" s="5">
        <v>4</v>
      </c>
      <c r="F30" s="6">
        <v>45302</v>
      </c>
      <c r="G30" s="5" t="s">
        <v>118</v>
      </c>
      <c r="H30" s="5" t="s">
        <v>119</v>
      </c>
      <c r="I30" s="5" t="s">
        <v>33</v>
      </c>
      <c r="J30" s="5" t="s">
        <v>20</v>
      </c>
      <c r="K30" s="5" t="s">
        <v>21</v>
      </c>
      <c r="L30" s="5">
        <v>41</v>
      </c>
      <c r="M30" s="5" t="s">
        <v>22</v>
      </c>
      <c r="N30" s="7"/>
    </row>
    <row r="31" spans="2:14" x14ac:dyDescent="0.35">
      <c r="B31" s="5" t="s">
        <v>120</v>
      </c>
      <c r="C31" s="5" t="s">
        <v>121</v>
      </c>
      <c r="D31" s="5" t="s">
        <v>37</v>
      </c>
      <c r="E31" s="5">
        <v>4</v>
      </c>
      <c r="F31" s="6">
        <v>45302</v>
      </c>
      <c r="G31" s="5" t="s">
        <v>17</v>
      </c>
      <c r="H31" s="5" t="s">
        <v>122</v>
      </c>
      <c r="I31" s="5" t="s">
        <v>123</v>
      </c>
      <c r="J31" s="5" t="s">
        <v>20</v>
      </c>
      <c r="K31" s="5" t="s">
        <v>21</v>
      </c>
      <c r="L31" s="5">
        <v>7</v>
      </c>
      <c r="M31" s="5" t="s">
        <v>51</v>
      </c>
      <c r="N31" s="7"/>
    </row>
    <row r="32" spans="2:14" x14ac:dyDescent="0.35">
      <c r="B32" s="5" t="s">
        <v>124</v>
      </c>
      <c r="C32" s="5" t="s">
        <v>125</v>
      </c>
      <c r="D32" s="5" t="s">
        <v>37</v>
      </c>
      <c r="E32" s="5">
        <v>4</v>
      </c>
      <c r="F32" s="6">
        <v>45303</v>
      </c>
      <c r="G32" s="5" t="s">
        <v>17</v>
      </c>
      <c r="H32" s="5" t="s">
        <v>126</v>
      </c>
      <c r="I32" s="5" t="s">
        <v>127</v>
      </c>
      <c r="J32" s="5" t="s">
        <v>40</v>
      </c>
      <c r="K32" s="5" t="s">
        <v>21</v>
      </c>
      <c r="L32" s="5">
        <v>34</v>
      </c>
      <c r="M32" s="5" t="s">
        <v>29</v>
      </c>
      <c r="N32" s="7"/>
    </row>
    <row r="33" spans="2:14" x14ac:dyDescent="0.35">
      <c r="B33" s="5" t="s">
        <v>128</v>
      </c>
      <c r="C33" s="5" t="s">
        <v>129</v>
      </c>
      <c r="D33" s="5" t="s">
        <v>54</v>
      </c>
      <c r="E33" s="5">
        <v>10</v>
      </c>
      <c r="F33" s="6">
        <v>45303</v>
      </c>
      <c r="G33" s="5" t="s">
        <v>17</v>
      </c>
      <c r="H33" s="5" t="s">
        <v>130</v>
      </c>
      <c r="I33" s="5" t="s">
        <v>33</v>
      </c>
      <c r="J33" s="5" t="s">
        <v>47</v>
      </c>
      <c r="K33" s="5" t="s">
        <v>41</v>
      </c>
      <c r="L33" s="5">
        <v>36</v>
      </c>
      <c r="M33" s="5" t="s">
        <v>29</v>
      </c>
      <c r="N33" s="7"/>
    </row>
    <row r="34" spans="2:14" x14ac:dyDescent="0.35">
      <c r="B34" s="5" t="s">
        <v>131</v>
      </c>
      <c r="C34" s="5" t="s">
        <v>132</v>
      </c>
      <c r="D34" s="5" t="s">
        <v>16</v>
      </c>
      <c r="E34" s="5">
        <v>8</v>
      </c>
      <c r="F34" s="6">
        <v>45304</v>
      </c>
      <c r="G34" s="5" t="s">
        <v>17</v>
      </c>
      <c r="H34" s="5" t="s">
        <v>133</v>
      </c>
      <c r="I34" s="5" t="s">
        <v>39</v>
      </c>
      <c r="J34" s="5" t="s">
        <v>28</v>
      </c>
      <c r="K34" s="5" t="s">
        <v>21</v>
      </c>
      <c r="L34" s="5">
        <v>9</v>
      </c>
      <c r="M34" s="5" t="s">
        <v>22</v>
      </c>
      <c r="N34" s="7"/>
    </row>
    <row r="35" spans="2:14" x14ac:dyDescent="0.35">
      <c r="B35" s="5" t="s">
        <v>134</v>
      </c>
      <c r="C35" s="5" t="s">
        <v>135</v>
      </c>
      <c r="D35" s="5" t="s">
        <v>25</v>
      </c>
      <c r="E35" s="5">
        <v>6</v>
      </c>
      <c r="F35" s="6">
        <v>45304</v>
      </c>
      <c r="G35" s="5" t="s">
        <v>17</v>
      </c>
      <c r="H35" s="5" t="s">
        <v>136</v>
      </c>
      <c r="I35" s="5" t="s">
        <v>137</v>
      </c>
      <c r="J35" s="5" t="s">
        <v>28</v>
      </c>
      <c r="K35" s="5" t="s">
        <v>21</v>
      </c>
      <c r="L35" s="5">
        <v>39</v>
      </c>
      <c r="M35" s="5" t="s">
        <v>51</v>
      </c>
      <c r="N35" s="7"/>
    </row>
    <row r="36" spans="2:14" x14ac:dyDescent="0.35">
      <c r="B36" s="5" t="s">
        <v>138</v>
      </c>
      <c r="C36" s="5" t="s">
        <v>139</v>
      </c>
      <c r="D36" s="5" t="s">
        <v>44</v>
      </c>
      <c r="E36" s="5">
        <v>7</v>
      </c>
      <c r="F36" s="6">
        <v>45305</v>
      </c>
      <c r="G36" s="5" t="s">
        <v>17</v>
      </c>
      <c r="H36" s="5" t="s">
        <v>140</v>
      </c>
      <c r="I36" s="5" t="s">
        <v>39</v>
      </c>
      <c r="J36" s="5" t="s">
        <v>40</v>
      </c>
      <c r="K36" s="5" t="s">
        <v>21</v>
      </c>
      <c r="L36" s="5">
        <v>17</v>
      </c>
      <c r="M36" s="5" t="s">
        <v>29</v>
      </c>
      <c r="N36" s="7"/>
    </row>
    <row r="37" spans="2:14" x14ac:dyDescent="0.35">
      <c r="B37" s="5" t="s">
        <v>141</v>
      </c>
      <c r="C37" s="5" t="s">
        <v>142</v>
      </c>
      <c r="D37" s="5" t="s">
        <v>54</v>
      </c>
      <c r="E37" s="5">
        <v>10</v>
      </c>
      <c r="F37" s="6">
        <v>45305</v>
      </c>
      <c r="G37" s="5" t="s">
        <v>17</v>
      </c>
      <c r="H37" s="5" t="s">
        <v>143</v>
      </c>
      <c r="I37" s="5" t="s">
        <v>79</v>
      </c>
      <c r="J37" s="5" t="s">
        <v>47</v>
      </c>
      <c r="K37" s="5" t="s">
        <v>21</v>
      </c>
      <c r="L37" s="5">
        <v>26</v>
      </c>
      <c r="M37" s="5" t="s">
        <v>29</v>
      </c>
      <c r="N37" s="7"/>
    </row>
    <row r="38" spans="2:14" x14ac:dyDescent="0.35">
      <c r="B38" s="5" t="s">
        <v>144</v>
      </c>
      <c r="C38" s="5" t="s">
        <v>145</v>
      </c>
      <c r="D38" s="5" t="s">
        <v>16</v>
      </c>
      <c r="E38" s="5">
        <v>6</v>
      </c>
      <c r="F38" s="6">
        <v>45306</v>
      </c>
      <c r="G38" s="5" t="s">
        <v>118</v>
      </c>
      <c r="H38" s="5" t="s">
        <v>146</v>
      </c>
      <c r="I38" s="5" t="s">
        <v>33</v>
      </c>
      <c r="J38" s="5" t="s">
        <v>20</v>
      </c>
      <c r="K38" s="5" t="s">
        <v>41</v>
      </c>
      <c r="L38" s="5">
        <v>35</v>
      </c>
      <c r="M38" s="5" t="s">
        <v>51</v>
      </c>
      <c r="N38" s="7"/>
    </row>
    <row r="39" spans="2:14" x14ac:dyDescent="0.35">
      <c r="B39" s="5" t="s">
        <v>147</v>
      </c>
      <c r="C39" s="5" t="s">
        <v>148</v>
      </c>
      <c r="D39" s="5" t="s">
        <v>25</v>
      </c>
      <c r="E39" s="5">
        <v>5</v>
      </c>
      <c r="F39" s="6">
        <v>45306</v>
      </c>
      <c r="G39" s="5" t="s">
        <v>55</v>
      </c>
      <c r="H39" s="5" t="s">
        <v>149</v>
      </c>
      <c r="I39" s="5" t="s">
        <v>123</v>
      </c>
      <c r="J39" s="5" t="s">
        <v>28</v>
      </c>
      <c r="K39" s="5" t="s">
        <v>41</v>
      </c>
      <c r="L39" s="5">
        <v>25</v>
      </c>
      <c r="M39" s="5" t="s">
        <v>22</v>
      </c>
      <c r="N39" s="7"/>
    </row>
    <row r="40" spans="2:14" x14ac:dyDescent="0.35">
      <c r="B40" s="5" t="s">
        <v>150</v>
      </c>
      <c r="C40" s="5" t="s">
        <v>151</v>
      </c>
      <c r="D40" s="5" t="s">
        <v>25</v>
      </c>
      <c r="E40" s="5">
        <v>3</v>
      </c>
      <c r="F40" s="6">
        <v>45307</v>
      </c>
      <c r="G40" s="5" t="s">
        <v>118</v>
      </c>
      <c r="H40" s="5" t="s">
        <v>122</v>
      </c>
      <c r="I40" s="5" t="s">
        <v>123</v>
      </c>
      <c r="J40" s="5" t="s">
        <v>20</v>
      </c>
      <c r="K40" s="5" t="s">
        <v>21</v>
      </c>
      <c r="L40" s="5">
        <v>35</v>
      </c>
      <c r="M40" s="5" t="s">
        <v>22</v>
      </c>
      <c r="N40" s="7"/>
    </row>
    <row r="41" spans="2:14" x14ac:dyDescent="0.35">
      <c r="B41" s="5" t="s">
        <v>152</v>
      </c>
      <c r="C41" s="5" t="s">
        <v>153</v>
      </c>
      <c r="D41" s="5" t="s">
        <v>25</v>
      </c>
      <c r="E41" s="5">
        <v>3</v>
      </c>
      <c r="F41" s="6">
        <v>45307</v>
      </c>
      <c r="G41" s="5" t="s">
        <v>17</v>
      </c>
      <c r="H41" s="5" t="s">
        <v>154</v>
      </c>
      <c r="I41" s="5" t="s">
        <v>33</v>
      </c>
      <c r="J41" s="5" t="s">
        <v>28</v>
      </c>
      <c r="K41" s="5" t="s">
        <v>21</v>
      </c>
      <c r="L41" s="5">
        <v>38</v>
      </c>
      <c r="M41" s="5" t="s">
        <v>51</v>
      </c>
      <c r="N41" s="7"/>
    </row>
    <row r="42" spans="2:14" x14ac:dyDescent="0.35">
      <c r="B42" s="5" t="s">
        <v>155</v>
      </c>
      <c r="C42" s="5" t="s">
        <v>156</v>
      </c>
      <c r="D42" s="5" t="s">
        <v>25</v>
      </c>
      <c r="E42" s="5">
        <v>3</v>
      </c>
      <c r="F42" s="6">
        <v>45308</v>
      </c>
      <c r="G42" s="5" t="s">
        <v>17</v>
      </c>
      <c r="H42" s="5" t="s">
        <v>157</v>
      </c>
      <c r="I42" s="5" t="s">
        <v>158</v>
      </c>
      <c r="J42" s="5" t="s">
        <v>47</v>
      </c>
      <c r="K42" s="5" t="s">
        <v>41</v>
      </c>
      <c r="L42" s="5">
        <v>14</v>
      </c>
      <c r="M42" s="5" t="s">
        <v>29</v>
      </c>
      <c r="N42" s="7"/>
    </row>
    <row r="43" spans="2:14" x14ac:dyDescent="0.35">
      <c r="B43" s="5" t="s">
        <v>159</v>
      </c>
      <c r="C43" s="5" t="s">
        <v>160</v>
      </c>
      <c r="D43" s="5" t="s">
        <v>25</v>
      </c>
      <c r="E43" s="5">
        <v>6</v>
      </c>
      <c r="F43" s="6">
        <v>45308</v>
      </c>
      <c r="G43" s="5" t="s">
        <v>17</v>
      </c>
      <c r="H43" s="5" t="s">
        <v>70</v>
      </c>
      <c r="I43" s="5" t="s">
        <v>71</v>
      </c>
      <c r="J43" s="5" t="s">
        <v>47</v>
      </c>
      <c r="K43" s="5" t="s">
        <v>21</v>
      </c>
      <c r="L43" s="5">
        <v>43</v>
      </c>
      <c r="M43" s="5" t="s">
        <v>29</v>
      </c>
      <c r="N43" s="7"/>
    </row>
    <row r="44" spans="2:14" x14ac:dyDescent="0.35">
      <c r="B44" s="5" t="s">
        <v>161</v>
      </c>
      <c r="C44" s="5" t="s">
        <v>162</v>
      </c>
      <c r="D44" s="5" t="s">
        <v>54</v>
      </c>
      <c r="E44" s="5">
        <v>9</v>
      </c>
      <c r="F44" s="6">
        <v>45309</v>
      </c>
      <c r="G44" s="5" t="s">
        <v>17</v>
      </c>
      <c r="H44" s="5" t="s">
        <v>163</v>
      </c>
      <c r="I44" s="5" t="s">
        <v>71</v>
      </c>
      <c r="J44" s="5" t="s">
        <v>28</v>
      </c>
      <c r="K44" s="5" t="s">
        <v>21</v>
      </c>
      <c r="L44" s="5">
        <v>43</v>
      </c>
      <c r="M44" s="5" t="s">
        <v>29</v>
      </c>
      <c r="N44" s="7"/>
    </row>
    <row r="45" spans="2:14" x14ac:dyDescent="0.35">
      <c r="B45" s="5" t="s">
        <v>164</v>
      </c>
      <c r="C45" s="5" t="s">
        <v>165</v>
      </c>
      <c r="D45" s="5" t="s">
        <v>16</v>
      </c>
      <c r="E45" s="5">
        <v>6</v>
      </c>
      <c r="F45" s="6">
        <v>45309</v>
      </c>
      <c r="G45" s="5" t="s">
        <v>17</v>
      </c>
      <c r="H45" s="5" t="s">
        <v>166</v>
      </c>
      <c r="I45" s="5" t="s">
        <v>46</v>
      </c>
      <c r="J45" s="5" t="s">
        <v>47</v>
      </c>
      <c r="K45" s="5" t="s">
        <v>21</v>
      </c>
      <c r="L45" s="5">
        <v>6</v>
      </c>
      <c r="M45" s="5" t="s">
        <v>51</v>
      </c>
      <c r="N45" s="7"/>
    </row>
    <row r="46" spans="2:14" x14ac:dyDescent="0.35">
      <c r="B46" s="5" t="s">
        <v>167</v>
      </c>
      <c r="C46" s="5" t="s">
        <v>168</v>
      </c>
      <c r="D46" s="5" t="s">
        <v>44</v>
      </c>
      <c r="E46" s="5">
        <v>7</v>
      </c>
      <c r="F46" s="6">
        <v>45310</v>
      </c>
      <c r="G46" s="5" t="s">
        <v>17</v>
      </c>
      <c r="H46" s="5" t="s">
        <v>169</v>
      </c>
      <c r="I46" s="5" t="s">
        <v>170</v>
      </c>
      <c r="J46" s="5" t="s">
        <v>40</v>
      </c>
      <c r="K46" s="5" t="s">
        <v>41</v>
      </c>
      <c r="L46" s="5">
        <v>41</v>
      </c>
      <c r="M46" s="5" t="s">
        <v>29</v>
      </c>
      <c r="N46" s="7"/>
    </row>
    <row r="47" spans="2:14" x14ac:dyDescent="0.35">
      <c r="B47" s="5" t="s">
        <v>171</v>
      </c>
      <c r="C47" s="5" t="s">
        <v>172</v>
      </c>
      <c r="D47" s="5" t="s">
        <v>25</v>
      </c>
      <c r="E47" s="5">
        <v>4</v>
      </c>
      <c r="F47" s="6">
        <v>45310</v>
      </c>
      <c r="G47" s="5" t="s">
        <v>55</v>
      </c>
      <c r="H47" s="5" t="s">
        <v>173</v>
      </c>
      <c r="I47" s="5" t="s">
        <v>174</v>
      </c>
      <c r="J47" s="5" t="s">
        <v>28</v>
      </c>
      <c r="K47" s="5" t="s">
        <v>21</v>
      </c>
      <c r="L47" s="5">
        <v>27</v>
      </c>
      <c r="M47" s="5" t="s">
        <v>51</v>
      </c>
      <c r="N47" s="7"/>
    </row>
    <row r="48" spans="2:14" x14ac:dyDescent="0.35">
      <c r="B48" s="5" t="s">
        <v>175</v>
      </c>
      <c r="C48" s="5" t="s">
        <v>176</v>
      </c>
      <c r="D48" s="5" t="s">
        <v>44</v>
      </c>
      <c r="E48" s="5">
        <v>7</v>
      </c>
      <c r="F48" s="6">
        <v>45311</v>
      </c>
      <c r="G48" s="5" t="s">
        <v>55</v>
      </c>
      <c r="H48" s="5" t="s">
        <v>177</v>
      </c>
      <c r="I48" s="5" t="s">
        <v>79</v>
      </c>
      <c r="J48" s="5" t="s">
        <v>28</v>
      </c>
      <c r="K48" s="5" t="s">
        <v>21</v>
      </c>
      <c r="L48" s="5">
        <v>9</v>
      </c>
      <c r="M48" s="5" t="s">
        <v>29</v>
      </c>
      <c r="N48" s="7"/>
    </row>
    <row r="49" spans="2:14" x14ac:dyDescent="0.35">
      <c r="B49" s="5" t="s">
        <v>178</v>
      </c>
      <c r="C49" s="5" t="s">
        <v>179</v>
      </c>
      <c r="D49" s="5" t="s">
        <v>37</v>
      </c>
      <c r="E49" s="5">
        <v>4</v>
      </c>
      <c r="F49" s="6">
        <v>45311</v>
      </c>
      <c r="G49" s="5" t="s">
        <v>55</v>
      </c>
      <c r="H49" s="5" t="s">
        <v>97</v>
      </c>
      <c r="I49" s="5" t="s">
        <v>98</v>
      </c>
      <c r="J49" s="5" t="s">
        <v>28</v>
      </c>
      <c r="K49" s="5" t="s">
        <v>21</v>
      </c>
      <c r="L49" s="5">
        <v>30</v>
      </c>
      <c r="M49" s="5" t="s">
        <v>29</v>
      </c>
      <c r="N49" s="7"/>
    </row>
    <row r="50" spans="2:14" x14ac:dyDescent="0.35">
      <c r="B50" s="5" t="s">
        <v>180</v>
      </c>
      <c r="C50" s="5" t="s">
        <v>181</v>
      </c>
      <c r="D50" s="5" t="s">
        <v>37</v>
      </c>
      <c r="E50" s="5">
        <v>2</v>
      </c>
      <c r="F50" s="6">
        <v>45312</v>
      </c>
      <c r="G50" s="5" t="s">
        <v>17</v>
      </c>
      <c r="H50" s="5" t="s">
        <v>182</v>
      </c>
      <c r="I50" s="5" t="s">
        <v>102</v>
      </c>
      <c r="J50" s="5" t="s">
        <v>20</v>
      </c>
      <c r="K50" s="5" t="s">
        <v>72</v>
      </c>
      <c r="L50" s="5">
        <v>36</v>
      </c>
      <c r="M50" s="5" t="s">
        <v>22</v>
      </c>
      <c r="N50" s="7"/>
    </row>
    <row r="51" spans="2:14" x14ac:dyDescent="0.35">
      <c r="B51" s="5" t="s">
        <v>183</v>
      </c>
      <c r="C51" s="5" t="s">
        <v>184</v>
      </c>
      <c r="D51" s="5" t="s">
        <v>25</v>
      </c>
      <c r="E51" s="5">
        <v>3</v>
      </c>
      <c r="F51" s="6">
        <v>45312</v>
      </c>
      <c r="G51" s="5" t="s">
        <v>55</v>
      </c>
      <c r="H51" s="5" t="s">
        <v>185</v>
      </c>
      <c r="I51" s="5" t="s">
        <v>186</v>
      </c>
      <c r="J51" s="5" t="s">
        <v>28</v>
      </c>
      <c r="K51" s="5" t="s">
        <v>72</v>
      </c>
      <c r="L51" s="5">
        <v>17</v>
      </c>
      <c r="M51" s="5" t="s">
        <v>51</v>
      </c>
      <c r="N51" s="7"/>
    </row>
    <row r="52" spans="2:14" x14ac:dyDescent="0.35">
      <c r="B52" s="5" t="s">
        <v>187</v>
      </c>
      <c r="C52" s="5" t="s">
        <v>188</v>
      </c>
      <c r="D52" s="5" t="s">
        <v>37</v>
      </c>
      <c r="E52" s="5">
        <v>4</v>
      </c>
      <c r="F52" s="6">
        <v>45313</v>
      </c>
      <c r="G52" s="5" t="s">
        <v>17</v>
      </c>
      <c r="H52" s="5" t="s">
        <v>38</v>
      </c>
      <c r="I52" s="5" t="s">
        <v>39</v>
      </c>
      <c r="J52" s="5" t="s">
        <v>47</v>
      </c>
      <c r="K52" s="5" t="s">
        <v>21</v>
      </c>
      <c r="L52" s="5">
        <v>38</v>
      </c>
      <c r="M52" s="5" t="s">
        <v>51</v>
      </c>
      <c r="N52" s="7"/>
    </row>
    <row r="53" spans="2:14" x14ac:dyDescent="0.35">
      <c r="B53" s="5" t="s">
        <v>189</v>
      </c>
      <c r="C53" s="5" t="s">
        <v>190</v>
      </c>
      <c r="D53" s="5" t="s">
        <v>37</v>
      </c>
      <c r="E53" s="5">
        <v>2</v>
      </c>
      <c r="F53" s="6">
        <v>45313</v>
      </c>
      <c r="G53" s="5" t="s">
        <v>118</v>
      </c>
      <c r="H53" s="5" t="s">
        <v>191</v>
      </c>
      <c r="I53" s="5" t="s">
        <v>71</v>
      </c>
      <c r="J53" s="5" t="s">
        <v>20</v>
      </c>
      <c r="K53" s="5" t="s">
        <v>21</v>
      </c>
      <c r="L53" s="5">
        <v>36</v>
      </c>
      <c r="M53" s="5" t="s">
        <v>29</v>
      </c>
      <c r="N53" s="7"/>
    </row>
    <row r="54" spans="2:14" x14ac:dyDescent="0.35">
      <c r="B54" s="5" t="s">
        <v>192</v>
      </c>
      <c r="C54" s="5" t="s">
        <v>193</v>
      </c>
      <c r="D54" s="5" t="s">
        <v>44</v>
      </c>
      <c r="E54" s="5">
        <v>9</v>
      </c>
      <c r="F54" s="6">
        <v>45314</v>
      </c>
      <c r="G54" s="5" t="s">
        <v>17</v>
      </c>
      <c r="H54" s="5" t="s">
        <v>194</v>
      </c>
      <c r="I54" s="5" t="s">
        <v>71</v>
      </c>
      <c r="J54" s="5" t="s">
        <v>20</v>
      </c>
      <c r="K54" s="5" t="s">
        <v>21</v>
      </c>
      <c r="L54" s="5">
        <v>38</v>
      </c>
      <c r="M54" s="5" t="s">
        <v>51</v>
      </c>
      <c r="N54" s="7"/>
    </row>
    <row r="55" spans="2:14" x14ac:dyDescent="0.35">
      <c r="B55" s="5" t="s">
        <v>195</v>
      </c>
      <c r="C55" s="5" t="s">
        <v>196</v>
      </c>
      <c r="D55" s="5" t="s">
        <v>25</v>
      </c>
      <c r="E55" s="5">
        <v>6</v>
      </c>
      <c r="F55" s="6">
        <v>45314</v>
      </c>
      <c r="G55" s="5" t="s">
        <v>17</v>
      </c>
      <c r="H55" s="5" t="s">
        <v>197</v>
      </c>
      <c r="I55" s="5" t="s">
        <v>198</v>
      </c>
      <c r="J55" s="5" t="s">
        <v>20</v>
      </c>
      <c r="K55" s="5" t="s">
        <v>21</v>
      </c>
      <c r="L55" s="5">
        <v>13</v>
      </c>
      <c r="M55" s="5" t="s">
        <v>51</v>
      </c>
      <c r="N55" s="7"/>
    </row>
    <row r="56" spans="2:14" x14ac:dyDescent="0.35">
      <c r="B56" s="5" t="s">
        <v>199</v>
      </c>
      <c r="C56" s="5" t="s">
        <v>200</v>
      </c>
      <c r="D56" s="5" t="s">
        <v>44</v>
      </c>
      <c r="E56" s="5">
        <v>8</v>
      </c>
      <c r="F56" s="6">
        <v>45315</v>
      </c>
      <c r="G56" s="5" t="s">
        <v>118</v>
      </c>
      <c r="H56" s="5" t="s">
        <v>201</v>
      </c>
      <c r="I56" s="5" t="s">
        <v>202</v>
      </c>
      <c r="J56" s="5" t="s">
        <v>20</v>
      </c>
      <c r="K56" s="5" t="s">
        <v>21</v>
      </c>
      <c r="L56" s="5">
        <v>42</v>
      </c>
      <c r="M56" s="5" t="s">
        <v>29</v>
      </c>
      <c r="N56" s="7"/>
    </row>
    <row r="57" spans="2:14" x14ac:dyDescent="0.35">
      <c r="B57" s="5" t="s">
        <v>203</v>
      </c>
      <c r="C57" s="5" t="s">
        <v>204</v>
      </c>
      <c r="D57" s="5" t="s">
        <v>16</v>
      </c>
      <c r="E57" s="5">
        <v>8</v>
      </c>
      <c r="F57" s="6">
        <v>45315</v>
      </c>
      <c r="G57" s="5" t="s">
        <v>118</v>
      </c>
      <c r="H57" s="5" t="s">
        <v>205</v>
      </c>
      <c r="I57" s="5" t="s">
        <v>206</v>
      </c>
      <c r="J57" s="5" t="s">
        <v>20</v>
      </c>
      <c r="K57" s="5" t="s">
        <v>21</v>
      </c>
      <c r="L57" s="5">
        <v>7</v>
      </c>
      <c r="M57" s="5" t="s">
        <v>51</v>
      </c>
      <c r="N57" s="7"/>
    </row>
    <row r="58" spans="2:14" x14ac:dyDescent="0.35">
      <c r="B58" s="5" t="s">
        <v>207</v>
      </c>
      <c r="C58" s="5" t="s">
        <v>208</v>
      </c>
      <c r="D58" s="5" t="s">
        <v>37</v>
      </c>
      <c r="E58" s="5">
        <v>4</v>
      </c>
      <c r="F58" s="6">
        <v>45315</v>
      </c>
      <c r="G58" s="5" t="s">
        <v>55</v>
      </c>
      <c r="H58" s="5" t="s">
        <v>209</v>
      </c>
      <c r="I58" s="5" t="s">
        <v>71</v>
      </c>
      <c r="J58" s="5" t="s">
        <v>28</v>
      </c>
      <c r="K58" s="5" t="s">
        <v>21</v>
      </c>
      <c r="L58" s="5">
        <v>30</v>
      </c>
      <c r="M58" s="5" t="s">
        <v>51</v>
      </c>
      <c r="N58" s="7"/>
    </row>
    <row r="59" spans="2:14" x14ac:dyDescent="0.35">
      <c r="B59" s="5" t="s">
        <v>210</v>
      </c>
      <c r="C59" s="5" t="s">
        <v>211</v>
      </c>
      <c r="D59" s="5" t="s">
        <v>25</v>
      </c>
      <c r="E59" s="5">
        <v>4</v>
      </c>
      <c r="F59" s="6">
        <v>45315</v>
      </c>
      <c r="G59" s="5" t="s">
        <v>118</v>
      </c>
      <c r="H59" s="5" t="s">
        <v>109</v>
      </c>
      <c r="I59" s="5" t="s">
        <v>39</v>
      </c>
      <c r="J59" s="5" t="s">
        <v>20</v>
      </c>
      <c r="K59" s="5" t="s">
        <v>72</v>
      </c>
      <c r="L59" s="5">
        <v>22</v>
      </c>
      <c r="M59" s="5" t="s">
        <v>51</v>
      </c>
      <c r="N59" s="7"/>
    </row>
    <row r="60" spans="2:14" x14ac:dyDescent="0.35">
      <c r="B60" s="5" t="s">
        <v>212</v>
      </c>
      <c r="C60" s="5" t="s">
        <v>213</v>
      </c>
      <c r="D60" s="5" t="s">
        <v>44</v>
      </c>
      <c r="E60" s="5">
        <v>7</v>
      </c>
      <c r="F60" s="6">
        <v>45316</v>
      </c>
      <c r="G60" s="5" t="s">
        <v>17</v>
      </c>
      <c r="H60" s="5" t="s">
        <v>214</v>
      </c>
      <c r="I60" s="5" t="s">
        <v>215</v>
      </c>
      <c r="J60" s="5" t="s">
        <v>28</v>
      </c>
      <c r="K60" s="5" t="s">
        <v>21</v>
      </c>
      <c r="L60" s="5">
        <v>8</v>
      </c>
      <c r="M60" s="5" t="s">
        <v>51</v>
      </c>
      <c r="N60" s="7"/>
    </row>
    <row r="61" spans="2:14" x14ac:dyDescent="0.35">
      <c r="B61" s="5" t="s">
        <v>216</v>
      </c>
      <c r="C61" s="5" t="s">
        <v>217</v>
      </c>
      <c r="D61" s="5" t="s">
        <v>37</v>
      </c>
      <c r="E61" s="5">
        <v>3</v>
      </c>
      <c r="F61" s="6">
        <v>45316</v>
      </c>
      <c r="G61" s="5" t="s">
        <v>17</v>
      </c>
      <c r="H61" s="5" t="s">
        <v>218</v>
      </c>
      <c r="I61" s="5" t="s">
        <v>198</v>
      </c>
      <c r="J61" s="5" t="s">
        <v>20</v>
      </c>
      <c r="K61" s="5" t="s">
        <v>72</v>
      </c>
      <c r="L61" s="5">
        <v>44</v>
      </c>
      <c r="M61" s="5" t="s">
        <v>51</v>
      </c>
      <c r="N61" s="7"/>
    </row>
    <row r="62" spans="2:14" x14ac:dyDescent="0.35">
      <c r="B62" s="5" t="s">
        <v>219</v>
      </c>
      <c r="C62" s="5" t="s">
        <v>220</v>
      </c>
      <c r="D62" s="5" t="s">
        <v>37</v>
      </c>
      <c r="E62" s="5">
        <v>1</v>
      </c>
      <c r="F62" s="6">
        <v>45317</v>
      </c>
      <c r="G62" s="5" t="s">
        <v>17</v>
      </c>
      <c r="H62" s="5" t="s">
        <v>157</v>
      </c>
      <c r="I62" s="5" t="s">
        <v>158</v>
      </c>
      <c r="J62" s="5" t="s">
        <v>20</v>
      </c>
      <c r="K62" s="5" t="s">
        <v>21</v>
      </c>
      <c r="L62" s="5">
        <v>34</v>
      </c>
      <c r="M62" s="5" t="s">
        <v>51</v>
      </c>
      <c r="N62" s="7"/>
    </row>
    <row r="63" spans="2:14" x14ac:dyDescent="0.35">
      <c r="B63" s="5" t="s">
        <v>221</v>
      </c>
      <c r="C63" s="5" t="s">
        <v>222</v>
      </c>
      <c r="D63" s="5" t="s">
        <v>25</v>
      </c>
      <c r="E63" s="5">
        <v>6</v>
      </c>
      <c r="F63" s="6">
        <v>45317</v>
      </c>
      <c r="G63" s="5" t="s">
        <v>17</v>
      </c>
      <c r="H63" s="5" t="s">
        <v>122</v>
      </c>
      <c r="I63" s="5" t="s">
        <v>123</v>
      </c>
      <c r="J63" s="5" t="s">
        <v>28</v>
      </c>
      <c r="K63" s="5" t="s">
        <v>21</v>
      </c>
      <c r="L63" s="5">
        <v>18</v>
      </c>
      <c r="M63" s="5" t="s">
        <v>29</v>
      </c>
      <c r="N63" s="7"/>
    </row>
    <row r="64" spans="2:14" x14ac:dyDescent="0.35">
      <c r="B64" s="5" t="s">
        <v>223</v>
      </c>
      <c r="C64" s="5" t="s">
        <v>224</v>
      </c>
      <c r="D64" s="5" t="s">
        <v>25</v>
      </c>
      <c r="E64" s="5">
        <v>4</v>
      </c>
      <c r="F64" s="6">
        <v>45318</v>
      </c>
      <c r="G64" s="5" t="s">
        <v>17</v>
      </c>
      <c r="H64" s="5" t="s">
        <v>225</v>
      </c>
      <c r="I64" s="5" t="s">
        <v>202</v>
      </c>
      <c r="J64" s="5" t="s">
        <v>40</v>
      </c>
      <c r="K64" s="5" t="s">
        <v>21</v>
      </c>
      <c r="L64" s="5">
        <v>23</v>
      </c>
      <c r="M64" s="5" t="s">
        <v>29</v>
      </c>
      <c r="N64" s="7"/>
    </row>
    <row r="65" spans="2:14" x14ac:dyDescent="0.35">
      <c r="B65" s="5" t="s">
        <v>226</v>
      </c>
      <c r="C65" s="5" t="s">
        <v>227</v>
      </c>
      <c r="D65" s="5" t="s">
        <v>16</v>
      </c>
      <c r="E65" s="5">
        <v>7</v>
      </c>
      <c r="F65" s="6">
        <v>45318</v>
      </c>
      <c r="G65" s="5" t="s">
        <v>17</v>
      </c>
      <c r="H65" s="5" t="s">
        <v>228</v>
      </c>
      <c r="I65" s="5" t="s">
        <v>198</v>
      </c>
      <c r="J65" s="5" t="s">
        <v>28</v>
      </c>
      <c r="K65" s="5" t="s">
        <v>21</v>
      </c>
      <c r="L65" s="5">
        <v>37</v>
      </c>
      <c r="M65" s="5" t="s">
        <v>29</v>
      </c>
      <c r="N65" s="7"/>
    </row>
    <row r="66" spans="2:14" x14ac:dyDescent="0.35">
      <c r="B66" s="5" t="s">
        <v>229</v>
      </c>
      <c r="C66" s="5" t="s">
        <v>230</v>
      </c>
      <c r="D66" s="5" t="s">
        <v>54</v>
      </c>
      <c r="E66" s="5">
        <v>9</v>
      </c>
      <c r="F66" s="6">
        <v>45319</v>
      </c>
      <c r="G66" s="5" t="s">
        <v>17</v>
      </c>
      <c r="H66" s="5" t="s">
        <v>231</v>
      </c>
      <c r="I66" s="5" t="s">
        <v>79</v>
      </c>
      <c r="J66" s="5" t="s">
        <v>47</v>
      </c>
      <c r="K66" s="5" t="s">
        <v>21</v>
      </c>
      <c r="L66" s="5">
        <v>14</v>
      </c>
      <c r="M66" s="5" t="s">
        <v>51</v>
      </c>
      <c r="N66" s="7"/>
    </row>
    <row r="67" spans="2:14" x14ac:dyDescent="0.35">
      <c r="B67" s="5" t="s">
        <v>232</v>
      </c>
      <c r="C67" s="5" t="s">
        <v>233</v>
      </c>
      <c r="D67" s="5" t="s">
        <v>25</v>
      </c>
      <c r="E67" s="5">
        <v>5</v>
      </c>
      <c r="F67" s="6">
        <v>45319</v>
      </c>
      <c r="G67" s="5" t="s">
        <v>17</v>
      </c>
      <c r="H67" s="5" t="s">
        <v>234</v>
      </c>
      <c r="I67" s="5" t="s">
        <v>186</v>
      </c>
      <c r="J67" s="5" t="s">
        <v>47</v>
      </c>
      <c r="K67" s="5" t="s">
        <v>21</v>
      </c>
      <c r="L67" s="5">
        <v>31</v>
      </c>
      <c r="M67" s="5" t="s">
        <v>34</v>
      </c>
      <c r="N67" s="7"/>
    </row>
    <row r="68" spans="2:14" x14ac:dyDescent="0.35">
      <c r="B68" s="5" t="s">
        <v>235</v>
      </c>
      <c r="C68" s="5" t="s">
        <v>236</v>
      </c>
      <c r="D68" s="5" t="s">
        <v>37</v>
      </c>
      <c r="E68" s="5">
        <v>1</v>
      </c>
      <c r="F68" s="6">
        <v>45320</v>
      </c>
      <c r="G68" s="5" t="s">
        <v>55</v>
      </c>
      <c r="H68" s="5" t="s">
        <v>237</v>
      </c>
      <c r="I68" s="5" t="s">
        <v>198</v>
      </c>
      <c r="J68" s="5" t="s">
        <v>28</v>
      </c>
      <c r="K68" s="5" t="s">
        <v>21</v>
      </c>
      <c r="L68" s="5">
        <v>10</v>
      </c>
      <c r="M68" s="5" t="s">
        <v>34</v>
      </c>
      <c r="N68" s="7"/>
    </row>
    <row r="69" spans="2:14" x14ac:dyDescent="0.35">
      <c r="B69" s="5" t="s">
        <v>238</v>
      </c>
      <c r="C69" s="5" t="s">
        <v>239</v>
      </c>
      <c r="D69" s="5" t="s">
        <v>25</v>
      </c>
      <c r="E69" s="5">
        <v>3</v>
      </c>
      <c r="F69" s="6">
        <v>45320</v>
      </c>
      <c r="G69" s="5" t="s">
        <v>17</v>
      </c>
      <c r="H69" s="5" t="s">
        <v>240</v>
      </c>
      <c r="I69" s="5" t="s">
        <v>33</v>
      </c>
      <c r="J69" s="5" t="s">
        <v>20</v>
      </c>
      <c r="K69" s="5" t="s">
        <v>72</v>
      </c>
      <c r="L69" s="5">
        <v>45</v>
      </c>
      <c r="M69" s="5" t="s">
        <v>51</v>
      </c>
      <c r="N69" s="7"/>
    </row>
    <row r="70" spans="2:14" x14ac:dyDescent="0.35">
      <c r="B70" s="5" t="s">
        <v>241</v>
      </c>
      <c r="C70" s="5" t="s">
        <v>242</v>
      </c>
      <c r="D70" s="5" t="s">
        <v>25</v>
      </c>
      <c r="E70" s="5">
        <v>5</v>
      </c>
      <c r="F70" s="6">
        <v>45320</v>
      </c>
      <c r="G70" s="5" t="s">
        <v>17</v>
      </c>
      <c r="H70" s="5" t="s">
        <v>59</v>
      </c>
      <c r="I70" s="5" t="s">
        <v>60</v>
      </c>
      <c r="J70" s="5" t="s">
        <v>40</v>
      </c>
      <c r="K70" s="5" t="s">
        <v>21</v>
      </c>
      <c r="L70" s="5">
        <v>8</v>
      </c>
      <c r="M70" s="5" t="s">
        <v>34</v>
      </c>
      <c r="N70" s="7"/>
    </row>
    <row r="71" spans="2:14" x14ac:dyDescent="0.35">
      <c r="B71" s="5" t="s">
        <v>243</v>
      </c>
      <c r="C71" s="5" t="s">
        <v>244</v>
      </c>
      <c r="D71" s="5" t="s">
        <v>44</v>
      </c>
      <c r="E71" s="5">
        <v>8</v>
      </c>
      <c r="F71" s="6">
        <v>45320</v>
      </c>
      <c r="G71" s="5" t="s">
        <v>17</v>
      </c>
      <c r="H71" s="5" t="s">
        <v>245</v>
      </c>
      <c r="I71" s="5" t="s">
        <v>71</v>
      </c>
      <c r="J71" s="5" t="s">
        <v>40</v>
      </c>
      <c r="K71" s="5" t="s">
        <v>41</v>
      </c>
      <c r="L71" s="5">
        <v>35</v>
      </c>
      <c r="M71" s="5" t="s">
        <v>29</v>
      </c>
      <c r="N71" s="7"/>
    </row>
    <row r="72" spans="2:14" x14ac:dyDescent="0.35">
      <c r="B72" s="5" t="s">
        <v>246</v>
      </c>
      <c r="C72" s="5" t="s">
        <v>247</v>
      </c>
      <c r="D72" s="5" t="s">
        <v>54</v>
      </c>
      <c r="E72" s="5">
        <v>9</v>
      </c>
      <c r="F72" s="6">
        <v>45320</v>
      </c>
      <c r="G72" s="5" t="s">
        <v>55</v>
      </c>
      <c r="H72" s="5" t="s">
        <v>112</v>
      </c>
      <c r="I72" s="5" t="s">
        <v>33</v>
      </c>
      <c r="J72" s="5" t="s">
        <v>28</v>
      </c>
      <c r="K72" s="5" t="s">
        <v>21</v>
      </c>
      <c r="L72" s="5">
        <v>33</v>
      </c>
      <c r="M72" s="5" t="s">
        <v>29</v>
      </c>
      <c r="N72" s="7"/>
    </row>
    <row r="73" spans="2:14" x14ac:dyDescent="0.35">
      <c r="B73" s="5" t="s">
        <v>248</v>
      </c>
      <c r="C73" s="5" t="s">
        <v>249</v>
      </c>
      <c r="D73" s="5" t="s">
        <v>16</v>
      </c>
      <c r="E73" s="5">
        <v>8</v>
      </c>
      <c r="F73" s="6">
        <v>45321</v>
      </c>
      <c r="G73" s="5" t="s">
        <v>55</v>
      </c>
      <c r="H73" s="5" t="s">
        <v>197</v>
      </c>
      <c r="I73" s="5" t="s">
        <v>198</v>
      </c>
      <c r="J73" s="5" t="s">
        <v>28</v>
      </c>
      <c r="K73" s="5" t="s">
        <v>21</v>
      </c>
      <c r="L73" s="5">
        <v>8</v>
      </c>
      <c r="M73" s="5" t="s">
        <v>51</v>
      </c>
      <c r="N73" s="7"/>
    </row>
    <row r="74" spans="2:14" x14ac:dyDescent="0.35">
      <c r="B74" s="5" t="s">
        <v>250</v>
      </c>
      <c r="C74" s="5" t="s">
        <v>251</v>
      </c>
      <c r="D74" s="5" t="s">
        <v>25</v>
      </c>
      <c r="E74" s="5">
        <v>3</v>
      </c>
      <c r="F74" s="6">
        <v>45321</v>
      </c>
      <c r="G74" s="5" t="s">
        <v>17</v>
      </c>
      <c r="H74" s="5" t="s">
        <v>252</v>
      </c>
      <c r="I74" s="5" t="s">
        <v>253</v>
      </c>
      <c r="J74" s="5" t="s">
        <v>47</v>
      </c>
      <c r="K74" s="5" t="s">
        <v>21</v>
      </c>
      <c r="L74" s="5">
        <v>19</v>
      </c>
      <c r="M74" s="5" t="s">
        <v>51</v>
      </c>
      <c r="N74" s="7"/>
    </row>
    <row r="75" spans="2:14" x14ac:dyDescent="0.35">
      <c r="B75" s="5" t="s">
        <v>254</v>
      </c>
      <c r="C75" s="5" t="s">
        <v>255</v>
      </c>
      <c r="D75" s="5" t="s">
        <v>25</v>
      </c>
      <c r="E75" s="5">
        <v>3</v>
      </c>
      <c r="F75" s="6">
        <v>45322</v>
      </c>
      <c r="G75" s="5" t="s">
        <v>17</v>
      </c>
      <c r="H75" s="5" t="s">
        <v>252</v>
      </c>
      <c r="I75" s="5" t="s">
        <v>256</v>
      </c>
      <c r="J75" s="5" t="s">
        <v>47</v>
      </c>
      <c r="K75" s="5" t="s">
        <v>21</v>
      </c>
      <c r="L75" s="5">
        <v>23</v>
      </c>
      <c r="M75" s="5" t="s">
        <v>29</v>
      </c>
      <c r="N75" s="7"/>
    </row>
    <row r="76" spans="2:14" x14ac:dyDescent="0.35">
      <c r="B76" s="5" t="s">
        <v>257</v>
      </c>
      <c r="C76" s="5" t="s">
        <v>258</v>
      </c>
      <c r="D76" s="5" t="s">
        <v>25</v>
      </c>
      <c r="E76" s="5">
        <v>5</v>
      </c>
      <c r="F76" s="6">
        <v>45322</v>
      </c>
      <c r="G76" s="5" t="s">
        <v>118</v>
      </c>
      <c r="H76" s="5" t="s">
        <v>101</v>
      </c>
      <c r="I76" s="5" t="s">
        <v>102</v>
      </c>
      <c r="J76" s="5" t="s">
        <v>20</v>
      </c>
      <c r="K76" s="5" t="s">
        <v>41</v>
      </c>
      <c r="L76" s="5">
        <v>35</v>
      </c>
      <c r="M76" s="5" t="s">
        <v>29</v>
      </c>
      <c r="N76"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2EDE6-22DB-43A6-9E54-8D09B7D316D2}">
  <dimension ref="A2:Q76"/>
  <sheetViews>
    <sheetView topLeftCell="D1" zoomScale="80" zoomScaleNormal="80" workbookViewId="0">
      <selection activeCell="F7" sqref="F7"/>
    </sheetView>
  </sheetViews>
  <sheetFormatPr defaultColWidth="9" defaultRowHeight="14.5" x14ac:dyDescent="0.35"/>
  <cols>
    <col min="1" max="1" width="15.08984375" style="2" customWidth="1"/>
    <col min="2" max="2" width="21.08984375" style="2" customWidth="1"/>
    <col min="3" max="3" width="13.7265625" style="2" customWidth="1"/>
    <col min="4" max="4" width="8.6328125" style="2" customWidth="1"/>
    <col min="5" max="5" width="14.7265625" style="2" customWidth="1"/>
    <col min="6" max="6" width="15.36328125" style="2" customWidth="1"/>
    <col min="7" max="7" width="17.08984375" style="2" customWidth="1"/>
    <col min="8" max="8" width="18.7265625" style="2" customWidth="1"/>
    <col min="9" max="9" width="11.08984375" style="2" customWidth="1"/>
    <col min="10" max="10" width="14.453125" style="2" customWidth="1"/>
    <col min="11" max="11" width="14" style="2" customWidth="1"/>
    <col min="12" max="12" width="15" style="2" customWidth="1"/>
    <col min="13" max="13" width="11.81640625" style="2" customWidth="1"/>
    <col min="14" max="14" width="20.453125" style="2" customWidth="1"/>
    <col min="15" max="15" width="13" style="2" customWidth="1"/>
    <col min="16" max="16" width="19.7265625" style="2" customWidth="1"/>
    <col min="17" max="17" width="9.6328125" style="2" customWidth="1"/>
    <col min="18" max="16384" width="9" style="2"/>
  </cols>
  <sheetData>
    <row r="2" spans="1:17" ht="19" thickBot="1" x14ac:dyDescent="0.4">
      <c r="A2" s="15"/>
      <c r="B2" s="16"/>
      <c r="C2" s="16"/>
      <c r="D2" s="16"/>
      <c r="E2" s="15"/>
      <c r="F2" s="16"/>
      <c r="G2" s="15"/>
      <c r="H2" s="43" t="s">
        <v>264</v>
      </c>
      <c r="I2" s="44"/>
      <c r="J2" s="15"/>
      <c r="K2" s="15"/>
      <c r="L2" s="16"/>
      <c r="M2" s="16"/>
      <c r="N2" s="16"/>
      <c r="O2" s="15"/>
      <c r="P2" s="15"/>
      <c r="Q2" s="17"/>
    </row>
    <row r="3" spans="1:17" s="8" customFormat="1" x14ac:dyDescent="0.35">
      <c r="B3" s="14"/>
      <c r="C3" s="14"/>
      <c r="D3" s="14"/>
      <c r="F3" s="14"/>
      <c r="H3" s="14"/>
      <c r="I3" s="14"/>
      <c r="L3" s="14"/>
      <c r="M3" s="14"/>
      <c r="N3" s="14"/>
      <c r="Q3" s="14"/>
    </row>
    <row r="4" spans="1:17" s="8" customFormat="1" ht="19" thickBot="1" x14ac:dyDescent="0.5">
      <c r="A4" s="18"/>
      <c r="B4" s="18"/>
      <c r="C4" s="18"/>
      <c r="D4" s="18"/>
      <c r="E4" s="19"/>
      <c r="F4" s="18"/>
      <c r="G4" s="45" t="s">
        <v>1</v>
      </c>
      <c r="H4" s="46"/>
      <c r="I4" s="46"/>
      <c r="J4" s="46"/>
      <c r="K4" s="18"/>
      <c r="L4" s="18"/>
      <c r="M4" s="18"/>
      <c r="N4" s="18"/>
      <c r="O4" s="18"/>
      <c r="P4" s="18"/>
      <c r="Q4" s="18"/>
    </row>
    <row r="6" spans="1:17" s="10" customFormat="1" ht="33.75" customHeight="1" x14ac:dyDescent="0.35">
      <c r="A6" s="9" t="s">
        <v>2</v>
      </c>
      <c r="B6" s="9" t="s">
        <v>3</v>
      </c>
      <c r="C6" s="9" t="s">
        <v>4</v>
      </c>
      <c r="D6" s="9" t="s">
        <v>5</v>
      </c>
      <c r="E6" s="9" t="s">
        <v>6</v>
      </c>
      <c r="F6" s="9" t="s">
        <v>7</v>
      </c>
      <c r="G6" s="9" t="s">
        <v>8</v>
      </c>
      <c r="H6" s="9" t="s">
        <v>9</v>
      </c>
      <c r="I6" s="9" t="s">
        <v>10</v>
      </c>
      <c r="J6" s="9" t="s">
        <v>11</v>
      </c>
      <c r="K6" s="9" t="s">
        <v>12</v>
      </c>
      <c r="L6" s="13" t="s">
        <v>13</v>
      </c>
      <c r="M6" s="20" t="s">
        <v>259</v>
      </c>
      <c r="N6" s="20" t="s">
        <v>260</v>
      </c>
      <c r="O6" s="20" t="s">
        <v>261</v>
      </c>
      <c r="P6" s="20" t="s">
        <v>262</v>
      </c>
      <c r="Q6" s="21" t="s">
        <v>263</v>
      </c>
    </row>
    <row r="7" spans="1:17" x14ac:dyDescent="0.35">
      <c r="A7" s="5" t="s">
        <v>14</v>
      </c>
      <c r="B7" s="5" t="s">
        <v>15</v>
      </c>
      <c r="C7" s="5" t="s">
        <v>16</v>
      </c>
      <c r="D7" s="5">
        <v>8</v>
      </c>
      <c r="E7" s="6">
        <v>45292</v>
      </c>
      <c r="F7" s="5" t="s">
        <v>17</v>
      </c>
      <c r="G7" s="5" t="s">
        <v>18</v>
      </c>
      <c r="H7" s="5" t="s">
        <v>19</v>
      </c>
      <c r="I7" s="5" t="s">
        <v>20</v>
      </c>
      <c r="J7" s="5" t="s">
        <v>21</v>
      </c>
      <c r="K7" s="5">
        <v>14</v>
      </c>
      <c r="L7" s="5" t="s">
        <v>22</v>
      </c>
      <c r="M7" s="7" t="str">
        <f>TEXT(E7,"mmm")</f>
        <v>Jan</v>
      </c>
      <c r="N7" s="2" t="str">
        <f>IF(OR(C7="Positive",C7="Very Positive"),"Positive",IF(OR(C7="Negative",C7="Very Negative"),"Negative","Neutral"))</f>
        <v>Neutral</v>
      </c>
      <c r="O7" s="2" t="str">
        <f>IF(D7&lt;=4,"Low",
IF(D7&lt;=7,"Medium","High"))</f>
        <v>High</v>
      </c>
      <c r="P7" s="2" t="str">
        <f>IF(K7&lt;=15,"Short",
IF(K7&lt;=30,"Medium","Long"))</f>
        <v>Short</v>
      </c>
      <c r="Q7" s="2" t="str">
        <f>IF(J7="Within SLA","Within SLA","Above SLA")</f>
        <v>Within SLA</v>
      </c>
    </row>
    <row r="8" spans="1:17" x14ac:dyDescent="0.35">
      <c r="A8" s="5" t="s">
        <v>23</v>
      </c>
      <c r="B8" s="5" t="s">
        <v>24</v>
      </c>
      <c r="C8" s="5" t="s">
        <v>25</v>
      </c>
      <c r="D8" s="5">
        <v>5</v>
      </c>
      <c r="E8" s="6">
        <v>45292</v>
      </c>
      <c r="F8" s="5" t="s">
        <v>17</v>
      </c>
      <c r="G8" s="5" t="s">
        <v>26</v>
      </c>
      <c r="H8" s="5" t="s">
        <v>27</v>
      </c>
      <c r="I8" s="5" t="s">
        <v>28</v>
      </c>
      <c r="J8" s="5" t="s">
        <v>21</v>
      </c>
      <c r="K8" s="5">
        <v>32</v>
      </c>
      <c r="L8" s="5" t="s">
        <v>29</v>
      </c>
      <c r="M8" s="7" t="str">
        <f t="shared" ref="M8:M71" si="0">TEXT(E8,"mmm")</f>
        <v>Jan</v>
      </c>
      <c r="N8" s="2" t="str">
        <f t="shared" ref="N8:N71" si="1">IF(OR(C8="Positive",C8="Very Positive"),"Positive",IF(OR(C8="Negative",C8="Very Negative"),"Negative","Neutral"))</f>
        <v>Negative</v>
      </c>
      <c r="O8" s="2" t="str">
        <f t="shared" ref="O8:O71" si="2">IF(D8&lt;=4,"Low",
IF(D8&lt;=7,"Medium","High"))</f>
        <v>Medium</v>
      </c>
      <c r="P8" s="2" t="str">
        <f t="shared" ref="P8:P71" si="3">IF(K8&lt;=15,"Short",
IF(K8&lt;=30,"Medium","Long"))</f>
        <v>Long</v>
      </c>
      <c r="Q8" s="2" t="str">
        <f t="shared" ref="Q8:Q71" si="4">IF(J8="Within SLA","Within SLA","Above SLA")</f>
        <v>Within SLA</v>
      </c>
    </row>
    <row r="9" spans="1:17" x14ac:dyDescent="0.35">
      <c r="A9" s="5" t="s">
        <v>30</v>
      </c>
      <c r="B9" s="5" t="s">
        <v>31</v>
      </c>
      <c r="C9" s="5" t="s">
        <v>25</v>
      </c>
      <c r="D9" s="5">
        <v>3</v>
      </c>
      <c r="E9" s="6">
        <v>45293</v>
      </c>
      <c r="F9" s="5" t="s">
        <v>17</v>
      </c>
      <c r="G9" s="5" t="s">
        <v>32</v>
      </c>
      <c r="H9" s="5" t="s">
        <v>33</v>
      </c>
      <c r="I9" s="5" t="s">
        <v>20</v>
      </c>
      <c r="J9" s="5" t="s">
        <v>21</v>
      </c>
      <c r="K9" s="5">
        <v>6</v>
      </c>
      <c r="L9" s="5" t="s">
        <v>34</v>
      </c>
      <c r="M9" s="7" t="str">
        <f t="shared" si="0"/>
        <v>Jan</v>
      </c>
      <c r="N9" s="2" t="str">
        <f t="shared" si="1"/>
        <v>Negative</v>
      </c>
      <c r="O9" s="2" t="str">
        <f t="shared" si="2"/>
        <v>Low</v>
      </c>
      <c r="P9" s="2" t="str">
        <f t="shared" si="3"/>
        <v>Short</v>
      </c>
      <c r="Q9" s="2" t="str">
        <f t="shared" si="4"/>
        <v>Within SLA</v>
      </c>
    </row>
    <row r="10" spans="1:17" x14ac:dyDescent="0.35">
      <c r="A10" s="5" t="s">
        <v>35</v>
      </c>
      <c r="B10" s="5" t="s">
        <v>36</v>
      </c>
      <c r="C10" s="5" t="s">
        <v>37</v>
      </c>
      <c r="D10" s="5">
        <v>4</v>
      </c>
      <c r="E10" s="6">
        <v>45293</v>
      </c>
      <c r="F10" s="5" t="s">
        <v>17</v>
      </c>
      <c r="G10" s="5" t="s">
        <v>38</v>
      </c>
      <c r="H10" s="5" t="s">
        <v>39</v>
      </c>
      <c r="I10" s="5" t="s">
        <v>40</v>
      </c>
      <c r="J10" s="5" t="s">
        <v>41</v>
      </c>
      <c r="K10" s="5">
        <v>26</v>
      </c>
      <c r="L10" s="5" t="s">
        <v>29</v>
      </c>
      <c r="M10" s="7" t="str">
        <f t="shared" si="0"/>
        <v>Jan</v>
      </c>
      <c r="N10" s="2" t="str">
        <f t="shared" si="1"/>
        <v>Negative</v>
      </c>
      <c r="O10" s="2" t="str">
        <f t="shared" si="2"/>
        <v>Low</v>
      </c>
      <c r="P10" s="2" t="str">
        <f t="shared" si="3"/>
        <v>Medium</v>
      </c>
      <c r="Q10" s="2" t="str">
        <f t="shared" si="4"/>
        <v>Above SLA</v>
      </c>
    </row>
    <row r="11" spans="1:17" x14ac:dyDescent="0.35">
      <c r="A11" s="5" t="s">
        <v>42</v>
      </c>
      <c r="B11" s="5" t="s">
        <v>43</v>
      </c>
      <c r="C11" s="5" t="s">
        <v>44</v>
      </c>
      <c r="D11" s="5">
        <v>8</v>
      </c>
      <c r="E11" s="6">
        <v>45293</v>
      </c>
      <c r="F11" s="5" t="s">
        <v>17</v>
      </c>
      <c r="G11" s="5" t="s">
        <v>45</v>
      </c>
      <c r="H11" s="5" t="s">
        <v>46</v>
      </c>
      <c r="I11" s="5" t="s">
        <v>47</v>
      </c>
      <c r="J11" s="5" t="s">
        <v>21</v>
      </c>
      <c r="K11" s="5">
        <v>26</v>
      </c>
      <c r="L11" s="5" t="s">
        <v>29</v>
      </c>
      <c r="M11" s="7" t="str">
        <f t="shared" si="0"/>
        <v>Jan</v>
      </c>
      <c r="N11" s="2" t="str">
        <f t="shared" si="1"/>
        <v>Positive</v>
      </c>
      <c r="O11" s="2" t="str">
        <f t="shared" si="2"/>
        <v>High</v>
      </c>
      <c r="P11" s="2" t="str">
        <f t="shared" si="3"/>
        <v>Medium</v>
      </c>
      <c r="Q11" s="2" t="str">
        <f t="shared" si="4"/>
        <v>Within SLA</v>
      </c>
    </row>
    <row r="12" spans="1:17" ht="15" thickBot="1" x14ac:dyDescent="0.4">
      <c r="A12" s="5" t="s">
        <v>48</v>
      </c>
      <c r="B12" s="5" t="s">
        <v>49</v>
      </c>
      <c r="C12" s="5" t="s">
        <v>37</v>
      </c>
      <c r="D12" s="5">
        <v>4</v>
      </c>
      <c r="E12" s="6">
        <v>45294</v>
      </c>
      <c r="F12" s="5" t="s">
        <v>17</v>
      </c>
      <c r="G12" s="5" t="s">
        <v>18</v>
      </c>
      <c r="H12" s="5" t="s">
        <v>50</v>
      </c>
      <c r="I12" s="5" t="s">
        <v>47</v>
      </c>
      <c r="J12" s="5" t="s">
        <v>21</v>
      </c>
      <c r="K12" s="12">
        <v>6</v>
      </c>
      <c r="L12" s="5" t="s">
        <v>51</v>
      </c>
      <c r="M12" s="7" t="str">
        <f t="shared" si="0"/>
        <v>Jan</v>
      </c>
      <c r="N12" s="2" t="str">
        <f t="shared" si="1"/>
        <v>Negative</v>
      </c>
      <c r="O12" s="2" t="str">
        <f t="shared" si="2"/>
        <v>Low</v>
      </c>
      <c r="P12" s="2" t="str">
        <f t="shared" si="3"/>
        <v>Short</v>
      </c>
      <c r="Q12" s="2" t="str">
        <f t="shared" si="4"/>
        <v>Within SLA</v>
      </c>
    </row>
    <row r="13" spans="1:17" x14ac:dyDescent="0.35">
      <c r="A13" s="5" t="s">
        <v>52</v>
      </c>
      <c r="B13" s="5" t="s">
        <v>53</v>
      </c>
      <c r="C13" s="5" t="s">
        <v>54</v>
      </c>
      <c r="D13" s="5">
        <v>10</v>
      </c>
      <c r="E13" s="6">
        <v>45294</v>
      </c>
      <c r="F13" s="5" t="s">
        <v>55</v>
      </c>
      <c r="G13" s="5" t="s">
        <v>56</v>
      </c>
      <c r="H13" s="5" t="s">
        <v>39</v>
      </c>
      <c r="I13" s="5" t="s">
        <v>28</v>
      </c>
      <c r="J13" s="5" t="s">
        <v>21</v>
      </c>
      <c r="K13" s="11">
        <v>9</v>
      </c>
      <c r="L13" s="5" t="s">
        <v>29</v>
      </c>
      <c r="M13" s="7" t="str">
        <f t="shared" si="0"/>
        <v>Jan</v>
      </c>
      <c r="N13" s="2" t="str">
        <f t="shared" si="1"/>
        <v>Positive</v>
      </c>
      <c r="O13" s="2" t="str">
        <f t="shared" si="2"/>
        <v>High</v>
      </c>
      <c r="P13" s="2" t="str">
        <f t="shared" si="3"/>
        <v>Short</v>
      </c>
      <c r="Q13" s="2" t="str">
        <f t="shared" si="4"/>
        <v>Within SLA</v>
      </c>
    </row>
    <row r="14" spans="1:17" x14ac:dyDescent="0.35">
      <c r="A14" s="5" t="s">
        <v>57</v>
      </c>
      <c r="B14" s="5" t="s">
        <v>58</v>
      </c>
      <c r="C14" s="5" t="s">
        <v>25</v>
      </c>
      <c r="D14" s="5">
        <v>3</v>
      </c>
      <c r="E14" s="6">
        <v>45295</v>
      </c>
      <c r="F14" s="5" t="s">
        <v>17</v>
      </c>
      <c r="G14" s="5" t="s">
        <v>59</v>
      </c>
      <c r="H14" s="5" t="s">
        <v>60</v>
      </c>
      <c r="I14" s="5" t="s">
        <v>28</v>
      </c>
      <c r="J14" s="5" t="s">
        <v>21</v>
      </c>
      <c r="K14" s="5">
        <v>15</v>
      </c>
      <c r="L14" s="5" t="s">
        <v>51</v>
      </c>
      <c r="M14" s="7" t="str">
        <f t="shared" si="0"/>
        <v>Jan</v>
      </c>
      <c r="N14" s="2" t="str">
        <f t="shared" si="1"/>
        <v>Negative</v>
      </c>
      <c r="O14" s="2" t="str">
        <f t="shared" si="2"/>
        <v>Low</v>
      </c>
      <c r="P14" s="2" t="str">
        <f t="shared" si="3"/>
        <v>Short</v>
      </c>
      <c r="Q14" s="2" t="str">
        <f t="shared" si="4"/>
        <v>Within SLA</v>
      </c>
    </row>
    <row r="15" spans="1:17" x14ac:dyDescent="0.35">
      <c r="A15" s="5" t="s">
        <v>61</v>
      </c>
      <c r="B15" s="5" t="s">
        <v>62</v>
      </c>
      <c r="C15" s="5" t="s">
        <v>25</v>
      </c>
      <c r="D15" s="5">
        <v>3</v>
      </c>
      <c r="E15" s="6">
        <v>45295</v>
      </c>
      <c r="F15" s="5" t="s">
        <v>17</v>
      </c>
      <c r="G15" s="5" t="s">
        <v>63</v>
      </c>
      <c r="H15" s="5" t="s">
        <v>64</v>
      </c>
      <c r="I15" s="5" t="s">
        <v>47</v>
      </c>
      <c r="J15" s="5" t="s">
        <v>21</v>
      </c>
      <c r="K15" s="5">
        <v>12</v>
      </c>
      <c r="L15" s="5" t="s">
        <v>29</v>
      </c>
      <c r="M15" s="7" t="str">
        <f t="shared" si="0"/>
        <v>Jan</v>
      </c>
      <c r="N15" s="2" t="str">
        <f t="shared" si="1"/>
        <v>Negative</v>
      </c>
      <c r="O15" s="2" t="str">
        <f t="shared" si="2"/>
        <v>Low</v>
      </c>
      <c r="P15" s="2" t="str">
        <f t="shared" si="3"/>
        <v>Short</v>
      </c>
      <c r="Q15" s="2" t="str">
        <f t="shared" si="4"/>
        <v>Within SLA</v>
      </c>
    </row>
    <row r="16" spans="1:17" x14ac:dyDescent="0.35">
      <c r="A16" s="5" t="s">
        <v>65</v>
      </c>
      <c r="B16" s="5" t="s">
        <v>66</v>
      </c>
      <c r="C16" s="5" t="s">
        <v>25</v>
      </c>
      <c r="D16" s="5">
        <v>6</v>
      </c>
      <c r="E16" s="6">
        <v>45296</v>
      </c>
      <c r="F16" s="5" t="s">
        <v>17</v>
      </c>
      <c r="G16" s="5" t="s">
        <v>67</v>
      </c>
      <c r="H16" s="5" t="s">
        <v>33</v>
      </c>
      <c r="I16" s="5" t="s">
        <v>47</v>
      </c>
      <c r="J16" s="5" t="s">
        <v>21</v>
      </c>
      <c r="K16" s="5">
        <v>42</v>
      </c>
      <c r="L16" s="5" t="s">
        <v>29</v>
      </c>
      <c r="M16" s="7" t="str">
        <f t="shared" si="0"/>
        <v>Jan</v>
      </c>
      <c r="N16" s="2" t="str">
        <f t="shared" si="1"/>
        <v>Negative</v>
      </c>
      <c r="O16" s="2" t="str">
        <f t="shared" si="2"/>
        <v>Medium</v>
      </c>
      <c r="P16" s="2" t="str">
        <f t="shared" si="3"/>
        <v>Long</v>
      </c>
      <c r="Q16" s="2" t="str">
        <f t="shared" si="4"/>
        <v>Within SLA</v>
      </c>
    </row>
    <row r="17" spans="1:17" x14ac:dyDescent="0.35">
      <c r="A17" s="5" t="s">
        <v>68</v>
      </c>
      <c r="B17" s="5" t="s">
        <v>69</v>
      </c>
      <c r="C17" s="5" t="s">
        <v>25</v>
      </c>
      <c r="D17" s="5">
        <v>3</v>
      </c>
      <c r="E17" s="6">
        <v>45296</v>
      </c>
      <c r="F17" s="5" t="s">
        <v>17</v>
      </c>
      <c r="G17" s="5" t="s">
        <v>70</v>
      </c>
      <c r="H17" s="5" t="s">
        <v>71</v>
      </c>
      <c r="I17" s="5" t="s">
        <v>20</v>
      </c>
      <c r="J17" s="5" t="s">
        <v>72</v>
      </c>
      <c r="K17" s="5">
        <v>44</v>
      </c>
      <c r="L17" s="5" t="s">
        <v>51</v>
      </c>
      <c r="M17" s="7" t="str">
        <f t="shared" si="0"/>
        <v>Jan</v>
      </c>
      <c r="N17" s="2" t="str">
        <f t="shared" si="1"/>
        <v>Negative</v>
      </c>
      <c r="O17" s="2" t="str">
        <f t="shared" si="2"/>
        <v>Low</v>
      </c>
      <c r="P17" s="2" t="str">
        <f t="shared" si="3"/>
        <v>Long</v>
      </c>
      <c r="Q17" s="2" t="str">
        <f t="shared" si="4"/>
        <v>Above SLA</v>
      </c>
    </row>
    <row r="18" spans="1:17" x14ac:dyDescent="0.35">
      <c r="A18" s="5" t="s">
        <v>73</v>
      </c>
      <c r="B18" s="5" t="s">
        <v>74</v>
      </c>
      <c r="C18" s="5" t="s">
        <v>16</v>
      </c>
      <c r="D18" s="5">
        <v>7</v>
      </c>
      <c r="E18" s="6">
        <v>45297</v>
      </c>
      <c r="F18" s="5" t="s">
        <v>17</v>
      </c>
      <c r="G18" s="5" t="s">
        <v>75</v>
      </c>
      <c r="H18" s="5" t="s">
        <v>19</v>
      </c>
      <c r="I18" s="5" t="s">
        <v>20</v>
      </c>
      <c r="J18" s="5" t="s">
        <v>21</v>
      </c>
      <c r="K18" s="5">
        <v>29</v>
      </c>
      <c r="L18" s="5" t="s">
        <v>51</v>
      </c>
      <c r="M18" s="7" t="str">
        <f t="shared" si="0"/>
        <v>Jan</v>
      </c>
      <c r="N18" s="2" t="str">
        <f t="shared" si="1"/>
        <v>Neutral</v>
      </c>
      <c r="O18" s="2" t="str">
        <f t="shared" si="2"/>
        <v>Medium</v>
      </c>
      <c r="P18" s="2" t="str">
        <f t="shared" si="3"/>
        <v>Medium</v>
      </c>
      <c r="Q18" s="2" t="str">
        <f t="shared" si="4"/>
        <v>Within SLA</v>
      </c>
    </row>
    <row r="19" spans="1:17" x14ac:dyDescent="0.35">
      <c r="A19" s="5" t="s">
        <v>76</v>
      </c>
      <c r="B19" s="5" t="s">
        <v>77</v>
      </c>
      <c r="C19" s="5" t="s">
        <v>25</v>
      </c>
      <c r="D19" s="5">
        <v>5</v>
      </c>
      <c r="E19" s="6">
        <v>45297</v>
      </c>
      <c r="F19" s="5" t="s">
        <v>17</v>
      </c>
      <c r="G19" s="5" t="s">
        <v>78</v>
      </c>
      <c r="H19" s="5" t="s">
        <v>79</v>
      </c>
      <c r="I19" s="5" t="s">
        <v>20</v>
      </c>
      <c r="J19" s="5" t="s">
        <v>21</v>
      </c>
      <c r="K19" s="5">
        <v>35</v>
      </c>
      <c r="L19" s="5" t="s">
        <v>51</v>
      </c>
      <c r="M19" s="7" t="str">
        <f t="shared" si="0"/>
        <v>Jan</v>
      </c>
      <c r="N19" s="2" t="str">
        <f t="shared" si="1"/>
        <v>Negative</v>
      </c>
      <c r="O19" s="2" t="str">
        <f t="shared" si="2"/>
        <v>Medium</v>
      </c>
      <c r="P19" s="2" t="str">
        <f t="shared" si="3"/>
        <v>Long</v>
      </c>
      <c r="Q19" s="2" t="str">
        <f t="shared" si="4"/>
        <v>Within SLA</v>
      </c>
    </row>
    <row r="20" spans="1:17" x14ac:dyDescent="0.35">
      <c r="A20" s="5" t="s">
        <v>80</v>
      </c>
      <c r="B20" s="5" t="s">
        <v>81</v>
      </c>
      <c r="C20" s="5" t="s">
        <v>37</v>
      </c>
      <c r="D20" s="5">
        <v>2</v>
      </c>
      <c r="E20" s="6">
        <v>45298</v>
      </c>
      <c r="F20" s="5" t="s">
        <v>17</v>
      </c>
      <c r="G20" s="5" t="s">
        <v>82</v>
      </c>
      <c r="H20" s="5" t="s">
        <v>83</v>
      </c>
      <c r="I20" s="5" t="s">
        <v>47</v>
      </c>
      <c r="J20" s="5" t="s">
        <v>21</v>
      </c>
      <c r="K20" s="5">
        <v>30</v>
      </c>
      <c r="L20" s="5" t="s">
        <v>29</v>
      </c>
      <c r="M20" s="7" t="str">
        <f t="shared" si="0"/>
        <v>Jan</v>
      </c>
      <c r="N20" s="2" t="str">
        <f t="shared" si="1"/>
        <v>Negative</v>
      </c>
      <c r="O20" s="2" t="str">
        <f t="shared" si="2"/>
        <v>Low</v>
      </c>
      <c r="P20" s="2" t="str">
        <f t="shared" si="3"/>
        <v>Medium</v>
      </c>
      <c r="Q20" s="2" t="str">
        <f t="shared" si="4"/>
        <v>Within SLA</v>
      </c>
    </row>
    <row r="21" spans="1:17" x14ac:dyDescent="0.35">
      <c r="A21" s="5" t="s">
        <v>84</v>
      </c>
      <c r="B21" s="5" t="s">
        <v>85</v>
      </c>
      <c r="C21" s="5" t="s">
        <v>25</v>
      </c>
      <c r="D21" s="5">
        <v>6</v>
      </c>
      <c r="E21" s="6">
        <v>45298</v>
      </c>
      <c r="F21" s="5" t="s">
        <v>55</v>
      </c>
      <c r="G21" s="5" t="s">
        <v>86</v>
      </c>
      <c r="H21" s="5" t="s">
        <v>87</v>
      </c>
      <c r="I21" s="5" t="s">
        <v>28</v>
      </c>
      <c r="J21" s="5" t="s">
        <v>21</v>
      </c>
      <c r="K21" s="5">
        <v>29</v>
      </c>
      <c r="L21" s="5" t="s">
        <v>29</v>
      </c>
      <c r="M21" s="7" t="str">
        <f t="shared" si="0"/>
        <v>Jan</v>
      </c>
      <c r="N21" s="2" t="str">
        <f t="shared" si="1"/>
        <v>Negative</v>
      </c>
      <c r="O21" s="2" t="str">
        <f t="shared" si="2"/>
        <v>Medium</v>
      </c>
      <c r="P21" s="2" t="str">
        <f t="shared" si="3"/>
        <v>Medium</v>
      </c>
      <c r="Q21" s="2" t="str">
        <f t="shared" si="4"/>
        <v>Within SLA</v>
      </c>
    </row>
    <row r="22" spans="1:17" x14ac:dyDescent="0.35">
      <c r="A22" s="5" t="s">
        <v>88</v>
      </c>
      <c r="B22" s="5" t="s">
        <v>89</v>
      </c>
      <c r="C22" s="5" t="s">
        <v>44</v>
      </c>
      <c r="D22" s="5">
        <v>9</v>
      </c>
      <c r="E22" s="6">
        <v>45299</v>
      </c>
      <c r="F22" s="5" t="s">
        <v>55</v>
      </c>
      <c r="G22" s="5" t="s">
        <v>90</v>
      </c>
      <c r="H22" s="5" t="s">
        <v>71</v>
      </c>
      <c r="I22" s="5" t="s">
        <v>28</v>
      </c>
      <c r="J22" s="5" t="s">
        <v>21</v>
      </c>
      <c r="K22" s="5">
        <v>9</v>
      </c>
      <c r="L22" s="5" t="s">
        <v>51</v>
      </c>
      <c r="M22" s="7" t="str">
        <f t="shared" si="0"/>
        <v>Jan</v>
      </c>
      <c r="N22" s="2" t="str">
        <f t="shared" si="1"/>
        <v>Positive</v>
      </c>
      <c r="O22" s="2" t="str">
        <f t="shared" si="2"/>
        <v>High</v>
      </c>
      <c r="P22" s="2" t="str">
        <f t="shared" si="3"/>
        <v>Short</v>
      </c>
      <c r="Q22" s="2" t="str">
        <f t="shared" si="4"/>
        <v>Within SLA</v>
      </c>
    </row>
    <row r="23" spans="1:17" x14ac:dyDescent="0.35">
      <c r="A23" s="5" t="s">
        <v>91</v>
      </c>
      <c r="B23" s="5" t="s">
        <v>92</v>
      </c>
      <c r="C23" s="5" t="s">
        <v>54</v>
      </c>
      <c r="D23" s="5">
        <v>9</v>
      </c>
      <c r="E23" s="6">
        <v>45299</v>
      </c>
      <c r="F23" s="5" t="s">
        <v>17</v>
      </c>
      <c r="G23" s="5" t="s">
        <v>93</v>
      </c>
      <c r="H23" s="5" t="s">
        <v>94</v>
      </c>
      <c r="I23" s="5" t="s">
        <v>20</v>
      </c>
      <c r="J23" s="5" t="s">
        <v>21</v>
      </c>
      <c r="K23" s="5">
        <v>8</v>
      </c>
      <c r="L23" s="5" t="s">
        <v>29</v>
      </c>
      <c r="M23" s="7" t="str">
        <f t="shared" si="0"/>
        <v>Jan</v>
      </c>
      <c r="N23" s="2" t="str">
        <f t="shared" si="1"/>
        <v>Positive</v>
      </c>
      <c r="O23" s="2" t="str">
        <f t="shared" si="2"/>
        <v>High</v>
      </c>
      <c r="P23" s="2" t="str">
        <f t="shared" si="3"/>
        <v>Short</v>
      </c>
      <c r="Q23" s="2" t="str">
        <f t="shared" si="4"/>
        <v>Within SLA</v>
      </c>
    </row>
    <row r="24" spans="1:17" x14ac:dyDescent="0.35">
      <c r="A24" s="5" t="s">
        <v>95</v>
      </c>
      <c r="B24" s="5" t="s">
        <v>96</v>
      </c>
      <c r="C24" s="5" t="s">
        <v>37</v>
      </c>
      <c r="D24" s="5">
        <v>3</v>
      </c>
      <c r="E24" s="6">
        <v>45299</v>
      </c>
      <c r="F24" s="5" t="s">
        <v>17</v>
      </c>
      <c r="G24" s="5" t="s">
        <v>97</v>
      </c>
      <c r="H24" s="5" t="s">
        <v>98</v>
      </c>
      <c r="I24" s="5" t="s">
        <v>20</v>
      </c>
      <c r="J24" s="5" t="s">
        <v>72</v>
      </c>
      <c r="K24" s="5">
        <v>35</v>
      </c>
      <c r="L24" s="5" t="s">
        <v>22</v>
      </c>
      <c r="M24" s="7" t="str">
        <f t="shared" si="0"/>
        <v>Jan</v>
      </c>
      <c r="N24" s="2" t="str">
        <f t="shared" si="1"/>
        <v>Negative</v>
      </c>
      <c r="O24" s="2" t="str">
        <f t="shared" si="2"/>
        <v>Low</v>
      </c>
      <c r="P24" s="2" t="str">
        <f t="shared" si="3"/>
        <v>Long</v>
      </c>
      <c r="Q24" s="2" t="str">
        <f t="shared" si="4"/>
        <v>Above SLA</v>
      </c>
    </row>
    <row r="25" spans="1:17" x14ac:dyDescent="0.35">
      <c r="A25" s="5" t="s">
        <v>99</v>
      </c>
      <c r="B25" s="5" t="s">
        <v>100</v>
      </c>
      <c r="C25" s="5" t="s">
        <v>44</v>
      </c>
      <c r="D25" s="5">
        <v>7</v>
      </c>
      <c r="E25" s="6">
        <v>45299</v>
      </c>
      <c r="F25" s="5" t="s">
        <v>17</v>
      </c>
      <c r="G25" s="5" t="s">
        <v>101</v>
      </c>
      <c r="H25" s="5" t="s">
        <v>102</v>
      </c>
      <c r="I25" s="5" t="s">
        <v>47</v>
      </c>
      <c r="J25" s="5" t="s">
        <v>21</v>
      </c>
      <c r="K25" s="5">
        <v>20</v>
      </c>
      <c r="L25" s="5" t="s">
        <v>51</v>
      </c>
      <c r="M25" s="7" t="str">
        <f t="shared" si="0"/>
        <v>Jan</v>
      </c>
      <c r="N25" s="2" t="str">
        <f t="shared" si="1"/>
        <v>Positive</v>
      </c>
      <c r="O25" s="2" t="str">
        <f t="shared" si="2"/>
        <v>Medium</v>
      </c>
      <c r="P25" s="2" t="str">
        <f t="shared" si="3"/>
        <v>Medium</v>
      </c>
      <c r="Q25" s="2" t="str">
        <f t="shared" si="4"/>
        <v>Within SLA</v>
      </c>
    </row>
    <row r="26" spans="1:17" x14ac:dyDescent="0.35">
      <c r="A26" s="5" t="s">
        <v>103</v>
      </c>
      <c r="B26" s="5" t="s">
        <v>104</v>
      </c>
      <c r="C26" s="5" t="s">
        <v>25</v>
      </c>
      <c r="D26" s="5">
        <v>3</v>
      </c>
      <c r="E26" s="6">
        <v>45300</v>
      </c>
      <c r="F26" s="5" t="s">
        <v>17</v>
      </c>
      <c r="G26" s="5" t="s">
        <v>105</v>
      </c>
      <c r="H26" s="5" t="s">
        <v>106</v>
      </c>
      <c r="I26" s="5" t="s">
        <v>47</v>
      </c>
      <c r="J26" s="5" t="s">
        <v>21</v>
      </c>
      <c r="K26" s="5">
        <v>31</v>
      </c>
      <c r="L26" s="5" t="s">
        <v>29</v>
      </c>
      <c r="M26" s="7" t="str">
        <f t="shared" si="0"/>
        <v>Jan</v>
      </c>
      <c r="N26" s="2" t="str">
        <f t="shared" si="1"/>
        <v>Negative</v>
      </c>
      <c r="O26" s="2" t="str">
        <f t="shared" si="2"/>
        <v>Low</v>
      </c>
      <c r="P26" s="2" t="str">
        <f t="shared" si="3"/>
        <v>Long</v>
      </c>
      <c r="Q26" s="2" t="str">
        <f t="shared" si="4"/>
        <v>Within SLA</v>
      </c>
    </row>
    <row r="27" spans="1:17" x14ac:dyDescent="0.35">
      <c r="A27" s="5" t="s">
        <v>107</v>
      </c>
      <c r="B27" s="5" t="s">
        <v>108</v>
      </c>
      <c r="C27" s="5" t="s">
        <v>16</v>
      </c>
      <c r="D27" s="5">
        <v>5</v>
      </c>
      <c r="E27" s="6">
        <v>45300</v>
      </c>
      <c r="F27" s="5" t="s">
        <v>17</v>
      </c>
      <c r="G27" s="5" t="s">
        <v>109</v>
      </c>
      <c r="H27" s="5" t="s">
        <v>39</v>
      </c>
      <c r="I27" s="5" t="s">
        <v>40</v>
      </c>
      <c r="J27" s="5" t="s">
        <v>41</v>
      </c>
      <c r="K27" s="5">
        <v>39</v>
      </c>
      <c r="L27" s="5" t="s">
        <v>29</v>
      </c>
      <c r="M27" s="7" t="str">
        <f t="shared" si="0"/>
        <v>Jan</v>
      </c>
      <c r="N27" s="2" t="str">
        <f t="shared" si="1"/>
        <v>Neutral</v>
      </c>
      <c r="O27" s="2" t="str">
        <f t="shared" si="2"/>
        <v>Medium</v>
      </c>
      <c r="P27" s="2" t="str">
        <f t="shared" si="3"/>
        <v>Long</v>
      </c>
      <c r="Q27" s="2" t="str">
        <f t="shared" si="4"/>
        <v>Above SLA</v>
      </c>
    </row>
    <row r="28" spans="1:17" x14ac:dyDescent="0.35">
      <c r="A28" s="5" t="s">
        <v>110</v>
      </c>
      <c r="B28" s="5" t="s">
        <v>111</v>
      </c>
      <c r="C28" s="5" t="s">
        <v>25</v>
      </c>
      <c r="D28" s="5">
        <v>3</v>
      </c>
      <c r="E28" s="6">
        <v>45301</v>
      </c>
      <c r="F28" s="5" t="s">
        <v>17</v>
      </c>
      <c r="G28" s="5" t="s">
        <v>112</v>
      </c>
      <c r="H28" s="5" t="s">
        <v>33</v>
      </c>
      <c r="I28" s="5" t="s">
        <v>28</v>
      </c>
      <c r="J28" s="5" t="s">
        <v>21</v>
      </c>
      <c r="K28" s="5">
        <v>38</v>
      </c>
      <c r="L28" s="5" t="s">
        <v>34</v>
      </c>
      <c r="M28" s="7" t="str">
        <f t="shared" si="0"/>
        <v>Jan</v>
      </c>
      <c r="N28" s="2" t="str">
        <f t="shared" si="1"/>
        <v>Negative</v>
      </c>
      <c r="O28" s="2" t="str">
        <f t="shared" si="2"/>
        <v>Low</v>
      </c>
      <c r="P28" s="2" t="str">
        <f t="shared" si="3"/>
        <v>Long</v>
      </c>
      <c r="Q28" s="2" t="str">
        <f t="shared" si="4"/>
        <v>Within SLA</v>
      </c>
    </row>
    <row r="29" spans="1:17" x14ac:dyDescent="0.35">
      <c r="A29" s="5" t="s">
        <v>113</v>
      </c>
      <c r="B29" s="5" t="s">
        <v>114</v>
      </c>
      <c r="C29" s="5" t="s">
        <v>25</v>
      </c>
      <c r="D29" s="5">
        <v>4</v>
      </c>
      <c r="E29" s="6">
        <v>45301</v>
      </c>
      <c r="F29" s="5" t="s">
        <v>17</v>
      </c>
      <c r="G29" s="5" t="s">
        <v>115</v>
      </c>
      <c r="H29" s="5" t="s">
        <v>71</v>
      </c>
      <c r="I29" s="5" t="s">
        <v>28</v>
      </c>
      <c r="J29" s="5" t="s">
        <v>72</v>
      </c>
      <c r="K29" s="5">
        <v>44</v>
      </c>
      <c r="L29" s="5" t="s">
        <v>34</v>
      </c>
      <c r="M29" s="7" t="str">
        <f t="shared" si="0"/>
        <v>Jan</v>
      </c>
      <c r="N29" s="2" t="str">
        <f t="shared" si="1"/>
        <v>Negative</v>
      </c>
      <c r="O29" s="2" t="str">
        <f t="shared" si="2"/>
        <v>Low</v>
      </c>
      <c r="P29" s="2" t="str">
        <f t="shared" si="3"/>
        <v>Long</v>
      </c>
      <c r="Q29" s="2" t="str">
        <f t="shared" si="4"/>
        <v>Above SLA</v>
      </c>
    </row>
    <row r="30" spans="1:17" x14ac:dyDescent="0.35">
      <c r="A30" s="5" t="s">
        <v>116</v>
      </c>
      <c r="B30" s="5" t="s">
        <v>117</v>
      </c>
      <c r="C30" s="5" t="s">
        <v>37</v>
      </c>
      <c r="D30" s="5">
        <v>4</v>
      </c>
      <c r="E30" s="6">
        <v>45302</v>
      </c>
      <c r="F30" s="5" t="s">
        <v>118</v>
      </c>
      <c r="G30" s="5" t="s">
        <v>119</v>
      </c>
      <c r="H30" s="5" t="s">
        <v>33</v>
      </c>
      <c r="I30" s="5" t="s">
        <v>20</v>
      </c>
      <c r="J30" s="5" t="s">
        <v>21</v>
      </c>
      <c r="K30" s="5">
        <v>41</v>
      </c>
      <c r="L30" s="5" t="s">
        <v>22</v>
      </c>
      <c r="M30" s="7" t="str">
        <f t="shared" si="0"/>
        <v>Jan</v>
      </c>
      <c r="N30" s="2" t="str">
        <f t="shared" si="1"/>
        <v>Negative</v>
      </c>
      <c r="O30" s="2" t="str">
        <f t="shared" si="2"/>
        <v>Low</v>
      </c>
      <c r="P30" s="2" t="str">
        <f t="shared" si="3"/>
        <v>Long</v>
      </c>
      <c r="Q30" s="2" t="str">
        <f t="shared" si="4"/>
        <v>Within SLA</v>
      </c>
    </row>
    <row r="31" spans="1:17" x14ac:dyDescent="0.35">
      <c r="A31" s="5" t="s">
        <v>120</v>
      </c>
      <c r="B31" s="5" t="s">
        <v>121</v>
      </c>
      <c r="C31" s="5" t="s">
        <v>37</v>
      </c>
      <c r="D31" s="5">
        <v>4</v>
      </c>
      <c r="E31" s="6">
        <v>45302</v>
      </c>
      <c r="F31" s="5" t="s">
        <v>17</v>
      </c>
      <c r="G31" s="5" t="s">
        <v>122</v>
      </c>
      <c r="H31" s="5" t="s">
        <v>123</v>
      </c>
      <c r="I31" s="5" t="s">
        <v>20</v>
      </c>
      <c r="J31" s="5" t="s">
        <v>21</v>
      </c>
      <c r="K31" s="5">
        <v>7</v>
      </c>
      <c r="L31" s="5" t="s">
        <v>51</v>
      </c>
      <c r="M31" s="7" t="str">
        <f t="shared" si="0"/>
        <v>Jan</v>
      </c>
      <c r="N31" s="2" t="str">
        <f t="shared" si="1"/>
        <v>Negative</v>
      </c>
      <c r="O31" s="2" t="str">
        <f t="shared" si="2"/>
        <v>Low</v>
      </c>
      <c r="P31" s="2" t="str">
        <f t="shared" si="3"/>
        <v>Short</v>
      </c>
      <c r="Q31" s="2" t="str">
        <f t="shared" si="4"/>
        <v>Within SLA</v>
      </c>
    </row>
    <row r="32" spans="1:17" x14ac:dyDescent="0.35">
      <c r="A32" s="5" t="s">
        <v>124</v>
      </c>
      <c r="B32" s="5" t="s">
        <v>125</v>
      </c>
      <c r="C32" s="5" t="s">
        <v>37</v>
      </c>
      <c r="D32" s="5">
        <v>4</v>
      </c>
      <c r="E32" s="6">
        <v>45303</v>
      </c>
      <c r="F32" s="5" t="s">
        <v>17</v>
      </c>
      <c r="G32" s="5" t="s">
        <v>126</v>
      </c>
      <c r="H32" s="5" t="s">
        <v>127</v>
      </c>
      <c r="I32" s="5" t="s">
        <v>40</v>
      </c>
      <c r="J32" s="5" t="s">
        <v>21</v>
      </c>
      <c r="K32" s="5">
        <v>34</v>
      </c>
      <c r="L32" s="5" t="s">
        <v>29</v>
      </c>
      <c r="M32" s="7" t="str">
        <f t="shared" si="0"/>
        <v>Jan</v>
      </c>
      <c r="N32" s="2" t="str">
        <f t="shared" si="1"/>
        <v>Negative</v>
      </c>
      <c r="O32" s="2" t="str">
        <f t="shared" si="2"/>
        <v>Low</v>
      </c>
      <c r="P32" s="2" t="str">
        <f t="shared" si="3"/>
        <v>Long</v>
      </c>
      <c r="Q32" s="2" t="str">
        <f t="shared" si="4"/>
        <v>Within SLA</v>
      </c>
    </row>
    <row r="33" spans="1:17" x14ac:dyDescent="0.35">
      <c r="A33" s="5" t="s">
        <v>128</v>
      </c>
      <c r="B33" s="5" t="s">
        <v>129</v>
      </c>
      <c r="C33" s="5" t="s">
        <v>54</v>
      </c>
      <c r="D33" s="5">
        <v>10</v>
      </c>
      <c r="E33" s="6">
        <v>45303</v>
      </c>
      <c r="F33" s="5" t="s">
        <v>17</v>
      </c>
      <c r="G33" s="5" t="s">
        <v>130</v>
      </c>
      <c r="H33" s="5" t="s">
        <v>33</v>
      </c>
      <c r="I33" s="5" t="s">
        <v>47</v>
      </c>
      <c r="J33" s="5" t="s">
        <v>41</v>
      </c>
      <c r="K33" s="5">
        <v>36</v>
      </c>
      <c r="L33" s="5" t="s">
        <v>29</v>
      </c>
      <c r="M33" s="7" t="str">
        <f t="shared" si="0"/>
        <v>Jan</v>
      </c>
      <c r="N33" s="2" t="str">
        <f t="shared" si="1"/>
        <v>Positive</v>
      </c>
      <c r="O33" s="2" t="str">
        <f t="shared" si="2"/>
        <v>High</v>
      </c>
      <c r="P33" s="2" t="str">
        <f t="shared" si="3"/>
        <v>Long</v>
      </c>
      <c r="Q33" s="2" t="str">
        <f t="shared" si="4"/>
        <v>Above SLA</v>
      </c>
    </row>
    <row r="34" spans="1:17" x14ac:dyDescent="0.35">
      <c r="A34" s="5" t="s">
        <v>131</v>
      </c>
      <c r="B34" s="5" t="s">
        <v>132</v>
      </c>
      <c r="C34" s="5" t="s">
        <v>16</v>
      </c>
      <c r="D34" s="5">
        <v>8</v>
      </c>
      <c r="E34" s="6">
        <v>45304</v>
      </c>
      <c r="F34" s="5" t="s">
        <v>17</v>
      </c>
      <c r="G34" s="5" t="s">
        <v>133</v>
      </c>
      <c r="H34" s="5" t="s">
        <v>39</v>
      </c>
      <c r="I34" s="5" t="s">
        <v>28</v>
      </c>
      <c r="J34" s="5" t="s">
        <v>21</v>
      </c>
      <c r="K34" s="5">
        <v>9</v>
      </c>
      <c r="L34" s="5" t="s">
        <v>22</v>
      </c>
      <c r="M34" s="7" t="str">
        <f t="shared" si="0"/>
        <v>Jan</v>
      </c>
      <c r="N34" s="2" t="str">
        <f t="shared" si="1"/>
        <v>Neutral</v>
      </c>
      <c r="O34" s="2" t="str">
        <f t="shared" si="2"/>
        <v>High</v>
      </c>
      <c r="P34" s="2" t="str">
        <f t="shared" si="3"/>
        <v>Short</v>
      </c>
      <c r="Q34" s="2" t="str">
        <f t="shared" si="4"/>
        <v>Within SLA</v>
      </c>
    </row>
    <row r="35" spans="1:17" x14ac:dyDescent="0.35">
      <c r="A35" s="5" t="s">
        <v>134</v>
      </c>
      <c r="B35" s="5" t="s">
        <v>135</v>
      </c>
      <c r="C35" s="5" t="s">
        <v>25</v>
      </c>
      <c r="D35" s="5">
        <v>6</v>
      </c>
      <c r="E35" s="6">
        <v>45304</v>
      </c>
      <c r="F35" s="5" t="s">
        <v>17</v>
      </c>
      <c r="G35" s="5" t="s">
        <v>136</v>
      </c>
      <c r="H35" s="5" t="s">
        <v>137</v>
      </c>
      <c r="I35" s="5" t="s">
        <v>28</v>
      </c>
      <c r="J35" s="5" t="s">
        <v>21</v>
      </c>
      <c r="K35" s="5">
        <v>39</v>
      </c>
      <c r="L35" s="5" t="s">
        <v>51</v>
      </c>
      <c r="M35" s="7" t="str">
        <f t="shared" si="0"/>
        <v>Jan</v>
      </c>
      <c r="N35" s="2" t="str">
        <f t="shared" si="1"/>
        <v>Negative</v>
      </c>
      <c r="O35" s="2" t="str">
        <f t="shared" si="2"/>
        <v>Medium</v>
      </c>
      <c r="P35" s="2" t="str">
        <f t="shared" si="3"/>
        <v>Long</v>
      </c>
      <c r="Q35" s="2" t="str">
        <f t="shared" si="4"/>
        <v>Within SLA</v>
      </c>
    </row>
    <row r="36" spans="1:17" x14ac:dyDescent="0.35">
      <c r="A36" s="5" t="s">
        <v>138</v>
      </c>
      <c r="B36" s="5" t="s">
        <v>139</v>
      </c>
      <c r="C36" s="5" t="s">
        <v>44</v>
      </c>
      <c r="D36" s="5">
        <v>7</v>
      </c>
      <c r="E36" s="6">
        <v>45305</v>
      </c>
      <c r="F36" s="5" t="s">
        <v>17</v>
      </c>
      <c r="G36" s="5" t="s">
        <v>140</v>
      </c>
      <c r="H36" s="5" t="s">
        <v>39</v>
      </c>
      <c r="I36" s="5" t="s">
        <v>40</v>
      </c>
      <c r="J36" s="5" t="s">
        <v>21</v>
      </c>
      <c r="K36" s="5">
        <v>17</v>
      </c>
      <c r="L36" s="5" t="s">
        <v>29</v>
      </c>
      <c r="M36" s="7" t="str">
        <f t="shared" si="0"/>
        <v>Jan</v>
      </c>
      <c r="N36" s="2" t="str">
        <f t="shared" si="1"/>
        <v>Positive</v>
      </c>
      <c r="O36" s="2" t="str">
        <f t="shared" si="2"/>
        <v>Medium</v>
      </c>
      <c r="P36" s="2" t="str">
        <f t="shared" si="3"/>
        <v>Medium</v>
      </c>
      <c r="Q36" s="2" t="str">
        <f t="shared" si="4"/>
        <v>Within SLA</v>
      </c>
    </row>
    <row r="37" spans="1:17" x14ac:dyDescent="0.35">
      <c r="A37" s="5" t="s">
        <v>141</v>
      </c>
      <c r="B37" s="5" t="s">
        <v>142</v>
      </c>
      <c r="C37" s="5" t="s">
        <v>54</v>
      </c>
      <c r="D37" s="5">
        <v>10</v>
      </c>
      <c r="E37" s="6">
        <v>45305</v>
      </c>
      <c r="F37" s="5" t="s">
        <v>17</v>
      </c>
      <c r="G37" s="5" t="s">
        <v>143</v>
      </c>
      <c r="H37" s="5" t="s">
        <v>79</v>
      </c>
      <c r="I37" s="5" t="s">
        <v>47</v>
      </c>
      <c r="J37" s="5" t="s">
        <v>21</v>
      </c>
      <c r="K37" s="5">
        <v>26</v>
      </c>
      <c r="L37" s="5" t="s">
        <v>29</v>
      </c>
      <c r="M37" s="7" t="str">
        <f t="shared" si="0"/>
        <v>Jan</v>
      </c>
      <c r="N37" s="2" t="str">
        <f t="shared" si="1"/>
        <v>Positive</v>
      </c>
      <c r="O37" s="2" t="str">
        <f t="shared" si="2"/>
        <v>High</v>
      </c>
      <c r="P37" s="2" t="str">
        <f t="shared" si="3"/>
        <v>Medium</v>
      </c>
      <c r="Q37" s="2" t="str">
        <f t="shared" si="4"/>
        <v>Within SLA</v>
      </c>
    </row>
    <row r="38" spans="1:17" x14ac:dyDescent="0.35">
      <c r="A38" s="5" t="s">
        <v>144</v>
      </c>
      <c r="B38" s="5" t="s">
        <v>145</v>
      </c>
      <c r="C38" s="5" t="s">
        <v>16</v>
      </c>
      <c r="D38" s="5">
        <v>6</v>
      </c>
      <c r="E38" s="6">
        <v>45306</v>
      </c>
      <c r="F38" s="5" t="s">
        <v>118</v>
      </c>
      <c r="G38" s="5" t="s">
        <v>146</v>
      </c>
      <c r="H38" s="5" t="s">
        <v>33</v>
      </c>
      <c r="I38" s="5" t="s">
        <v>20</v>
      </c>
      <c r="J38" s="5" t="s">
        <v>41</v>
      </c>
      <c r="K38" s="5">
        <v>35</v>
      </c>
      <c r="L38" s="5" t="s">
        <v>51</v>
      </c>
      <c r="M38" s="7" t="str">
        <f t="shared" si="0"/>
        <v>Jan</v>
      </c>
      <c r="N38" s="2" t="str">
        <f t="shared" si="1"/>
        <v>Neutral</v>
      </c>
      <c r="O38" s="2" t="str">
        <f t="shared" si="2"/>
        <v>Medium</v>
      </c>
      <c r="P38" s="2" t="str">
        <f t="shared" si="3"/>
        <v>Long</v>
      </c>
      <c r="Q38" s="2" t="str">
        <f t="shared" si="4"/>
        <v>Above SLA</v>
      </c>
    </row>
    <row r="39" spans="1:17" x14ac:dyDescent="0.35">
      <c r="A39" s="5" t="s">
        <v>147</v>
      </c>
      <c r="B39" s="5" t="s">
        <v>148</v>
      </c>
      <c r="C39" s="5" t="s">
        <v>25</v>
      </c>
      <c r="D39" s="5">
        <v>5</v>
      </c>
      <c r="E39" s="6">
        <v>45306</v>
      </c>
      <c r="F39" s="5" t="s">
        <v>55</v>
      </c>
      <c r="G39" s="5" t="s">
        <v>149</v>
      </c>
      <c r="H39" s="5" t="s">
        <v>123</v>
      </c>
      <c r="I39" s="5" t="s">
        <v>28</v>
      </c>
      <c r="J39" s="5" t="s">
        <v>41</v>
      </c>
      <c r="K39" s="5">
        <v>25</v>
      </c>
      <c r="L39" s="5" t="s">
        <v>22</v>
      </c>
      <c r="M39" s="7" t="str">
        <f t="shared" si="0"/>
        <v>Jan</v>
      </c>
      <c r="N39" s="2" t="str">
        <f t="shared" si="1"/>
        <v>Negative</v>
      </c>
      <c r="O39" s="2" t="str">
        <f t="shared" si="2"/>
        <v>Medium</v>
      </c>
      <c r="P39" s="2" t="str">
        <f t="shared" si="3"/>
        <v>Medium</v>
      </c>
      <c r="Q39" s="2" t="str">
        <f t="shared" si="4"/>
        <v>Above SLA</v>
      </c>
    </row>
    <row r="40" spans="1:17" x14ac:dyDescent="0.35">
      <c r="A40" s="5" t="s">
        <v>150</v>
      </c>
      <c r="B40" s="5" t="s">
        <v>151</v>
      </c>
      <c r="C40" s="5" t="s">
        <v>25</v>
      </c>
      <c r="D40" s="5">
        <v>3</v>
      </c>
      <c r="E40" s="6">
        <v>45307</v>
      </c>
      <c r="F40" s="5" t="s">
        <v>118</v>
      </c>
      <c r="G40" s="5" t="s">
        <v>122</v>
      </c>
      <c r="H40" s="5" t="s">
        <v>123</v>
      </c>
      <c r="I40" s="5" t="s">
        <v>20</v>
      </c>
      <c r="J40" s="5" t="s">
        <v>21</v>
      </c>
      <c r="K40" s="5">
        <v>35</v>
      </c>
      <c r="L40" s="5" t="s">
        <v>22</v>
      </c>
      <c r="M40" s="7" t="str">
        <f t="shared" si="0"/>
        <v>Jan</v>
      </c>
      <c r="N40" s="2" t="str">
        <f t="shared" si="1"/>
        <v>Negative</v>
      </c>
      <c r="O40" s="2" t="str">
        <f t="shared" si="2"/>
        <v>Low</v>
      </c>
      <c r="P40" s="2" t="str">
        <f t="shared" si="3"/>
        <v>Long</v>
      </c>
      <c r="Q40" s="2" t="str">
        <f t="shared" si="4"/>
        <v>Within SLA</v>
      </c>
    </row>
    <row r="41" spans="1:17" x14ac:dyDescent="0.35">
      <c r="A41" s="5" t="s">
        <v>152</v>
      </c>
      <c r="B41" s="5" t="s">
        <v>153</v>
      </c>
      <c r="C41" s="5" t="s">
        <v>25</v>
      </c>
      <c r="D41" s="5">
        <v>3</v>
      </c>
      <c r="E41" s="6">
        <v>45307</v>
      </c>
      <c r="F41" s="5" t="s">
        <v>17</v>
      </c>
      <c r="G41" s="5" t="s">
        <v>154</v>
      </c>
      <c r="H41" s="5" t="s">
        <v>33</v>
      </c>
      <c r="I41" s="5" t="s">
        <v>28</v>
      </c>
      <c r="J41" s="5" t="s">
        <v>21</v>
      </c>
      <c r="K41" s="5">
        <v>38</v>
      </c>
      <c r="L41" s="5" t="s">
        <v>51</v>
      </c>
      <c r="M41" s="7" t="str">
        <f t="shared" si="0"/>
        <v>Jan</v>
      </c>
      <c r="N41" s="2" t="str">
        <f t="shared" si="1"/>
        <v>Negative</v>
      </c>
      <c r="O41" s="2" t="str">
        <f t="shared" si="2"/>
        <v>Low</v>
      </c>
      <c r="P41" s="2" t="str">
        <f t="shared" si="3"/>
        <v>Long</v>
      </c>
      <c r="Q41" s="2" t="str">
        <f t="shared" si="4"/>
        <v>Within SLA</v>
      </c>
    </row>
    <row r="42" spans="1:17" x14ac:dyDescent="0.35">
      <c r="A42" s="5" t="s">
        <v>155</v>
      </c>
      <c r="B42" s="5" t="s">
        <v>156</v>
      </c>
      <c r="C42" s="5" t="s">
        <v>25</v>
      </c>
      <c r="D42" s="5">
        <v>3</v>
      </c>
      <c r="E42" s="6">
        <v>45308</v>
      </c>
      <c r="F42" s="5" t="s">
        <v>17</v>
      </c>
      <c r="G42" s="5" t="s">
        <v>157</v>
      </c>
      <c r="H42" s="5" t="s">
        <v>158</v>
      </c>
      <c r="I42" s="5" t="s">
        <v>47</v>
      </c>
      <c r="J42" s="5" t="s">
        <v>41</v>
      </c>
      <c r="K42" s="5">
        <v>14</v>
      </c>
      <c r="L42" s="5" t="s">
        <v>29</v>
      </c>
      <c r="M42" s="7" t="str">
        <f t="shared" si="0"/>
        <v>Jan</v>
      </c>
      <c r="N42" s="2" t="str">
        <f t="shared" si="1"/>
        <v>Negative</v>
      </c>
      <c r="O42" s="2" t="str">
        <f t="shared" si="2"/>
        <v>Low</v>
      </c>
      <c r="P42" s="2" t="str">
        <f t="shared" si="3"/>
        <v>Short</v>
      </c>
      <c r="Q42" s="2" t="str">
        <f t="shared" si="4"/>
        <v>Above SLA</v>
      </c>
    </row>
    <row r="43" spans="1:17" x14ac:dyDescent="0.35">
      <c r="A43" s="5" t="s">
        <v>159</v>
      </c>
      <c r="B43" s="5" t="s">
        <v>160</v>
      </c>
      <c r="C43" s="5" t="s">
        <v>25</v>
      </c>
      <c r="D43" s="5">
        <v>6</v>
      </c>
      <c r="E43" s="6">
        <v>45308</v>
      </c>
      <c r="F43" s="5" t="s">
        <v>17</v>
      </c>
      <c r="G43" s="5" t="s">
        <v>70</v>
      </c>
      <c r="H43" s="5" t="s">
        <v>71</v>
      </c>
      <c r="I43" s="5" t="s">
        <v>47</v>
      </c>
      <c r="J43" s="5" t="s">
        <v>21</v>
      </c>
      <c r="K43" s="5">
        <v>43</v>
      </c>
      <c r="L43" s="5" t="s">
        <v>29</v>
      </c>
      <c r="M43" s="7" t="str">
        <f t="shared" si="0"/>
        <v>Jan</v>
      </c>
      <c r="N43" s="2" t="str">
        <f t="shared" si="1"/>
        <v>Negative</v>
      </c>
      <c r="O43" s="2" t="str">
        <f t="shared" si="2"/>
        <v>Medium</v>
      </c>
      <c r="P43" s="2" t="str">
        <f t="shared" si="3"/>
        <v>Long</v>
      </c>
      <c r="Q43" s="2" t="str">
        <f t="shared" si="4"/>
        <v>Within SLA</v>
      </c>
    </row>
    <row r="44" spans="1:17" x14ac:dyDescent="0.35">
      <c r="A44" s="5" t="s">
        <v>161</v>
      </c>
      <c r="B44" s="5" t="s">
        <v>162</v>
      </c>
      <c r="C44" s="5" t="s">
        <v>54</v>
      </c>
      <c r="D44" s="5">
        <v>9</v>
      </c>
      <c r="E44" s="6">
        <v>45309</v>
      </c>
      <c r="F44" s="5" t="s">
        <v>17</v>
      </c>
      <c r="G44" s="5" t="s">
        <v>163</v>
      </c>
      <c r="H44" s="5" t="s">
        <v>71</v>
      </c>
      <c r="I44" s="5" t="s">
        <v>28</v>
      </c>
      <c r="J44" s="5" t="s">
        <v>21</v>
      </c>
      <c r="K44" s="5">
        <v>43</v>
      </c>
      <c r="L44" s="5" t="s">
        <v>29</v>
      </c>
      <c r="M44" s="7" t="str">
        <f t="shared" si="0"/>
        <v>Jan</v>
      </c>
      <c r="N44" s="2" t="str">
        <f t="shared" si="1"/>
        <v>Positive</v>
      </c>
      <c r="O44" s="2" t="str">
        <f t="shared" si="2"/>
        <v>High</v>
      </c>
      <c r="P44" s="2" t="str">
        <f t="shared" si="3"/>
        <v>Long</v>
      </c>
      <c r="Q44" s="2" t="str">
        <f t="shared" si="4"/>
        <v>Within SLA</v>
      </c>
    </row>
    <row r="45" spans="1:17" x14ac:dyDescent="0.35">
      <c r="A45" s="5" t="s">
        <v>164</v>
      </c>
      <c r="B45" s="5" t="s">
        <v>165</v>
      </c>
      <c r="C45" s="5" t="s">
        <v>16</v>
      </c>
      <c r="D45" s="5">
        <v>6</v>
      </c>
      <c r="E45" s="6">
        <v>45309</v>
      </c>
      <c r="F45" s="5" t="s">
        <v>17</v>
      </c>
      <c r="G45" s="5" t="s">
        <v>166</v>
      </c>
      <c r="H45" s="5" t="s">
        <v>46</v>
      </c>
      <c r="I45" s="5" t="s">
        <v>47</v>
      </c>
      <c r="J45" s="5" t="s">
        <v>21</v>
      </c>
      <c r="K45" s="5">
        <v>6</v>
      </c>
      <c r="L45" s="5" t="s">
        <v>51</v>
      </c>
      <c r="M45" s="7" t="str">
        <f t="shared" si="0"/>
        <v>Jan</v>
      </c>
      <c r="N45" s="2" t="str">
        <f t="shared" si="1"/>
        <v>Neutral</v>
      </c>
      <c r="O45" s="2" t="str">
        <f t="shared" si="2"/>
        <v>Medium</v>
      </c>
      <c r="P45" s="2" t="str">
        <f t="shared" si="3"/>
        <v>Short</v>
      </c>
      <c r="Q45" s="2" t="str">
        <f t="shared" si="4"/>
        <v>Within SLA</v>
      </c>
    </row>
    <row r="46" spans="1:17" x14ac:dyDescent="0.35">
      <c r="A46" s="5" t="s">
        <v>167</v>
      </c>
      <c r="B46" s="5" t="s">
        <v>168</v>
      </c>
      <c r="C46" s="5" t="s">
        <v>44</v>
      </c>
      <c r="D46" s="5">
        <v>7</v>
      </c>
      <c r="E46" s="6">
        <v>45310</v>
      </c>
      <c r="F46" s="5" t="s">
        <v>17</v>
      </c>
      <c r="G46" s="5" t="s">
        <v>169</v>
      </c>
      <c r="H46" s="5" t="s">
        <v>170</v>
      </c>
      <c r="I46" s="5" t="s">
        <v>40</v>
      </c>
      <c r="J46" s="5" t="s">
        <v>41</v>
      </c>
      <c r="K46" s="5">
        <v>41</v>
      </c>
      <c r="L46" s="5" t="s">
        <v>29</v>
      </c>
      <c r="M46" s="7" t="str">
        <f t="shared" si="0"/>
        <v>Jan</v>
      </c>
      <c r="N46" s="2" t="str">
        <f t="shared" si="1"/>
        <v>Positive</v>
      </c>
      <c r="O46" s="2" t="str">
        <f t="shared" si="2"/>
        <v>Medium</v>
      </c>
      <c r="P46" s="2" t="str">
        <f t="shared" si="3"/>
        <v>Long</v>
      </c>
      <c r="Q46" s="2" t="str">
        <f t="shared" si="4"/>
        <v>Above SLA</v>
      </c>
    </row>
    <row r="47" spans="1:17" x14ac:dyDescent="0.35">
      <c r="A47" s="5" t="s">
        <v>171</v>
      </c>
      <c r="B47" s="5" t="s">
        <v>172</v>
      </c>
      <c r="C47" s="5" t="s">
        <v>25</v>
      </c>
      <c r="D47" s="5">
        <v>4</v>
      </c>
      <c r="E47" s="6">
        <v>45310</v>
      </c>
      <c r="F47" s="5" t="s">
        <v>55</v>
      </c>
      <c r="G47" s="5" t="s">
        <v>173</v>
      </c>
      <c r="H47" s="5" t="s">
        <v>174</v>
      </c>
      <c r="I47" s="5" t="s">
        <v>28</v>
      </c>
      <c r="J47" s="5" t="s">
        <v>21</v>
      </c>
      <c r="K47" s="5">
        <v>27</v>
      </c>
      <c r="L47" s="5" t="s">
        <v>51</v>
      </c>
      <c r="M47" s="7" t="str">
        <f t="shared" si="0"/>
        <v>Jan</v>
      </c>
      <c r="N47" s="2" t="str">
        <f t="shared" si="1"/>
        <v>Negative</v>
      </c>
      <c r="O47" s="2" t="str">
        <f t="shared" si="2"/>
        <v>Low</v>
      </c>
      <c r="P47" s="2" t="str">
        <f t="shared" si="3"/>
        <v>Medium</v>
      </c>
      <c r="Q47" s="2" t="str">
        <f t="shared" si="4"/>
        <v>Within SLA</v>
      </c>
    </row>
    <row r="48" spans="1:17" x14ac:dyDescent="0.35">
      <c r="A48" s="5" t="s">
        <v>175</v>
      </c>
      <c r="B48" s="5" t="s">
        <v>176</v>
      </c>
      <c r="C48" s="5" t="s">
        <v>44</v>
      </c>
      <c r="D48" s="5">
        <v>7</v>
      </c>
      <c r="E48" s="6">
        <v>45311</v>
      </c>
      <c r="F48" s="5" t="s">
        <v>55</v>
      </c>
      <c r="G48" s="5" t="s">
        <v>177</v>
      </c>
      <c r="H48" s="5" t="s">
        <v>79</v>
      </c>
      <c r="I48" s="5" t="s">
        <v>28</v>
      </c>
      <c r="J48" s="5" t="s">
        <v>21</v>
      </c>
      <c r="K48" s="5">
        <v>9</v>
      </c>
      <c r="L48" s="5" t="s">
        <v>29</v>
      </c>
      <c r="M48" s="7" t="str">
        <f t="shared" si="0"/>
        <v>Jan</v>
      </c>
      <c r="N48" s="2" t="str">
        <f t="shared" si="1"/>
        <v>Positive</v>
      </c>
      <c r="O48" s="2" t="str">
        <f t="shared" si="2"/>
        <v>Medium</v>
      </c>
      <c r="P48" s="2" t="str">
        <f t="shared" si="3"/>
        <v>Short</v>
      </c>
      <c r="Q48" s="2" t="str">
        <f t="shared" si="4"/>
        <v>Within SLA</v>
      </c>
    </row>
    <row r="49" spans="1:17" x14ac:dyDescent="0.35">
      <c r="A49" s="5" t="s">
        <v>178</v>
      </c>
      <c r="B49" s="5" t="s">
        <v>179</v>
      </c>
      <c r="C49" s="5" t="s">
        <v>37</v>
      </c>
      <c r="D49" s="5">
        <v>4</v>
      </c>
      <c r="E49" s="6">
        <v>45311</v>
      </c>
      <c r="F49" s="5" t="s">
        <v>55</v>
      </c>
      <c r="G49" s="5" t="s">
        <v>97</v>
      </c>
      <c r="H49" s="5" t="s">
        <v>98</v>
      </c>
      <c r="I49" s="5" t="s">
        <v>28</v>
      </c>
      <c r="J49" s="5" t="s">
        <v>21</v>
      </c>
      <c r="K49" s="5">
        <v>30</v>
      </c>
      <c r="L49" s="5" t="s">
        <v>29</v>
      </c>
      <c r="M49" s="7" t="str">
        <f t="shared" si="0"/>
        <v>Jan</v>
      </c>
      <c r="N49" s="2" t="str">
        <f t="shared" si="1"/>
        <v>Negative</v>
      </c>
      <c r="O49" s="2" t="str">
        <f t="shared" si="2"/>
        <v>Low</v>
      </c>
      <c r="P49" s="2" t="str">
        <f t="shared" si="3"/>
        <v>Medium</v>
      </c>
      <c r="Q49" s="2" t="str">
        <f t="shared" si="4"/>
        <v>Within SLA</v>
      </c>
    </row>
    <row r="50" spans="1:17" x14ac:dyDescent="0.35">
      <c r="A50" s="5" t="s">
        <v>180</v>
      </c>
      <c r="B50" s="5" t="s">
        <v>181</v>
      </c>
      <c r="C50" s="5" t="s">
        <v>37</v>
      </c>
      <c r="D50" s="5">
        <v>2</v>
      </c>
      <c r="E50" s="6">
        <v>45312</v>
      </c>
      <c r="F50" s="5" t="s">
        <v>17</v>
      </c>
      <c r="G50" s="5" t="s">
        <v>182</v>
      </c>
      <c r="H50" s="5" t="s">
        <v>102</v>
      </c>
      <c r="I50" s="5" t="s">
        <v>20</v>
      </c>
      <c r="J50" s="5" t="s">
        <v>72</v>
      </c>
      <c r="K50" s="5">
        <v>36</v>
      </c>
      <c r="L50" s="5" t="s">
        <v>22</v>
      </c>
      <c r="M50" s="7" t="str">
        <f t="shared" si="0"/>
        <v>Jan</v>
      </c>
      <c r="N50" s="2" t="str">
        <f t="shared" si="1"/>
        <v>Negative</v>
      </c>
      <c r="O50" s="2" t="str">
        <f t="shared" si="2"/>
        <v>Low</v>
      </c>
      <c r="P50" s="2" t="str">
        <f t="shared" si="3"/>
        <v>Long</v>
      </c>
      <c r="Q50" s="2" t="str">
        <f t="shared" si="4"/>
        <v>Above SLA</v>
      </c>
    </row>
    <row r="51" spans="1:17" x14ac:dyDescent="0.35">
      <c r="A51" s="5" t="s">
        <v>183</v>
      </c>
      <c r="B51" s="5" t="s">
        <v>184</v>
      </c>
      <c r="C51" s="5" t="s">
        <v>25</v>
      </c>
      <c r="D51" s="5">
        <v>3</v>
      </c>
      <c r="E51" s="6">
        <v>45312</v>
      </c>
      <c r="F51" s="5" t="s">
        <v>55</v>
      </c>
      <c r="G51" s="5" t="s">
        <v>185</v>
      </c>
      <c r="H51" s="5" t="s">
        <v>186</v>
      </c>
      <c r="I51" s="5" t="s">
        <v>28</v>
      </c>
      <c r="J51" s="5" t="s">
        <v>72</v>
      </c>
      <c r="K51" s="5">
        <v>17</v>
      </c>
      <c r="L51" s="5" t="s">
        <v>51</v>
      </c>
      <c r="M51" s="7" t="str">
        <f t="shared" si="0"/>
        <v>Jan</v>
      </c>
      <c r="N51" s="2" t="str">
        <f t="shared" si="1"/>
        <v>Negative</v>
      </c>
      <c r="O51" s="2" t="str">
        <f t="shared" si="2"/>
        <v>Low</v>
      </c>
      <c r="P51" s="2" t="str">
        <f t="shared" si="3"/>
        <v>Medium</v>
      </c>
      <c r="Q51" s="2" t="str">
        <f t="shared" si="4"/>
        <v>Above SLA</v>
      </c>
    </row>
    <row r="52" spans="1:17" x14ac:dyDescent="0.35">
      <c r="A52" s="5" t="s">
        <v>187</v>
      </c>
      <c r="B52" s="5" t="s">
        <v>188</v>
      </c>
      <c r="C52" s="5" t="s">
        <v>37</v>
      </c>
      <c r="D52" s="5">
        <v>4</v>
      </c>
      <c r="E52" s="6">
        <v>45313</v>
      </c>
      <c r="F52" s="5" t="s">
        <v>17</v>
      </c>
      <c r="G52" s="5" t="s">
        <v>38</v>
      </c>
      <c r="H52" s="5" t="s">
        <v>39</v>
      </c>
      <c r="I52" s="5" t="s">
        <v>47</v>
      </c>
      <c r="J52" s="5" t="s">
        <v>21</v>
      </c>
      <c r="K52" s="5">
        <v>38</v>
      </c>
      <c r="L52" s="5" t="s">
        <v>51</v>
      </c>
      <c r="M52" s="7" t="str">
        <f t="shared" si="0"/>
        <v>Jan</v>
      </c>
      <c r="N52" s="2" t="str">
        <f t="shared" si="1"/>
        <v>Negative</v>
      </c>
      <c r="O52" s="2" t="str">
        <f t="shared" si="2"/>
        <v>Low</v>
      </c>
      <c r="P52" s="2" t="str">
        <f t="shared" si="3"/>
        <v>Long</v>
      </c>
      <c r="Q52" s="2" t="str">
        <f t="shared" si="4"/>
        <v>Within SLA</v>
      </c>
    </row>
    <row r="53" spans="1:17" x14ac:dyDescent="0.35">
      <c r="A53" s="5" t="s">
        <v>189</v>
      </c>
      <c r="B53" s="5" t="s">
        <v>190</v>
      </c>
      <c r="C53" s="5" t="s">
        <v>37</v>
      </c>
      <c r="D53" s="5">
        <v>2</v>
      </c>
      <c r="E53" s="6">
        <v>45313</v>
      </c>
      <c r="F53" s="5" t="s">
        <v>118</v>
      </c>
      <c r="G53" s="5" t="s">
        <v>191</v>
      </c>
      <c r="H53" s="5" t="s">
        <v>71</v>
      </c>
      <c r="I53" s="5" t="s">
        <v>20</v>
      </c>
      <c r="J53" s="5" t="s">
        <v>21</v>
      </c>
      <c r="K53" s="5">
        <v>36</v>
      </c>
      <c r="L53" s="5" t="s">
        <v>29</v>
      </c>
      <c r="M53" s="7" t="str">
        <f t="shared" si="0"/>
        <v>Jan</v>
      </c>
      <c r="N53" s="2" t="str">
        <f t="shared" si="1"/>
        <v>Negative</v>
      </c>
      <c r="O53" s="2" t="str">
        <f t="shared" si="2"/>
        <v>Low</v>
      </c>
      <c r="P53" s="2" t="str">
        <f t="shared" si="3"/>
        <v>Long</v>
      </c>
      <c r="Q53" s="2" t="str">
        <f t="shared" si="4"/>
        <v>Within SLA</v>
      </c>
    </row>
    <row r="54" spans="1:17" x14ac:dyDescent="0.35">
      <c r="A54" s="5" t="s">
        <v>192</v>
      </c>
      <c r="B54" s="5" t="s">
        <v>193</v>
      </c>
      <c r="C54" s="5" t="s">
        <v>44</v>
      </c>
      <c r="D54" s="5">
        <v>9</v>
      </c>
      <c r="E54" s="6">
        <v>45314</v>
      </c>
      <c r="F54" s="5" t="s">
        <v>17</v>
      </c>
      <c r="G54" s="5" t="s">
        <v>194</v>
      </c>
      <c r="H54" s="5" t="s">
        <v>71</v>
      </c>
      <c r="I54" s="5" t="s">
        <v>20</v>
      </c>
      <c r="J54" s="5" t="s">
        <v>21</v>
      </c>
      <c r="K54" s="5">
        <v>38</v>
      </c>
      <c r="L54" s="5" t="s">
        <v>51</v>
      </c>
      <c r="M54" s="7" t="str">
        <f t="shared" si="0"/>
        <v>Jan</v>
      </c>
      <c r="N54" s="2" t="str">
        <f t="shared" si="1"/>
        <v>Positive</v>
      </c>
      <c r="O54" s="2" t="str">
        <f t="shared" si="2"/>
        <v>High</v>
      </c>
      <c r="P54" s="2" t="str">
        <f t="shared" si="3"/>
        <v>Long</v>
      </c>
      <c r="Q54" s="2" t="str">
        <f t="shared" si="4"/>
        <v>Within SLA</v>
      </c>
    </row>
    <row r="55" spans="1:17" x14ac:dyDescent="0.35">
      <c r="A55" s="5" t="s">
        <v>195</v>
      </c>
      <c r="B55" s="5" t="s">
        <v>196</v>
      </c>
      <c r="C55" s="5" t="s">
        <v>25</v>
      </c>
      <c r="D55" s="5">
        <v>6</v>
      </c>
      <c r="E55" s="6">
        <v>45314</v>
      </c>
      <c r="F55" s="5" t="s">
        <v>17</v>
      </c>
      <c r="G55" s="5" t="s">
        <v>197</v>
      </c>
      <c r="H55" s="5" t="s">
        <v>198</v>
      </c>
      <c r="I55" s="5" t="s">
        <v>20</v>
      </c>
      <c r="J55" s="5" t="s">
        <v>21</v>
      </c>
      <c r="K55" s="5">
        <v>13</v>
      </c>
      <c r="L55" s="5" t="s">
        <v>51</v>
      </c>
      <c r="M55" s="7" t="str">
        <f t="shared" si="0"/>
        <v>Jan</v>
      </c>
      <c r="N55" s="2" t="str">
        <f t="shared" si="1"/>
        <v>Negative</v>
      </c>
      <c r="O55" s="2" t="str">
        <f t="shared" si="2"/>
        <v>Medium</v>
      </c>
      <c r="P55" s="2" t="str">
        <f t="shared" si="3"/>
        <v>Short</v>
      </c>
      <c r="Q55" s="2" t="str">
        <f t="shared" si="4"/>
        <v>Within SLA</v>
      </c>
    </row>
    <row r="56" spans="1:17" x14ac:dyDescent="0.35">
      <c r="A56" s="5" t="s">
        <v>199</v>
      </c>
      <c r="B56" s="5" t="s">
        <v>200</v>
      </c>
      <c r="C56" s="5" t="s">
        <v>44</v>
      </c>
      <c r="D56" s="5">
        <v>8</v>
      </c>
      <c r="E56" s="6">
        <v>45315</v>
      </c>
      <c r="F56" s="5" t="s">
        <v>118</v>
      </c>
      <c r="G56" s="5" t="s">
        <v>201</v>
      </c>
      <c r="H56" s="5" t="s">
        <v>202</v>
      </c>
      <c r="I56" s="5" t="s">
        <v>20</v>
      </c>
      <c r="J56" s="5" t="s">
        <v>21</v>
      </c>
      <c r="K56" s="5">
        <v>42</v>
      </c>
      <c r="L56" s="5" t="s">
        <v>29</v>
      </c>
      <c r="M56" s="7" t="str">
        <f t="shared" si="0"/>
        <v>Jan</v>
      </c>
      <c r="N56" s="2" t="str">
        <f t="shared" si="1"/>
        <v>Positive</v>
      </c>
      <c r="O56" s="2" t="str">
        <f t="shared" si="2"/>
        <v>High</v>
      </c>
      <c r="P56" s="2" t="str">
        <f t="shared" si="3"/>
        <v>Long</v>
      </c>
      <c r="Q56" s="2" t="str">
        <f t="shared" si="4"/>
        <v>Within SLA</v>
      </c>
    </row>
    <row r="57" spans="1:17" x14ac:dyDescent="0.35">
      <c r="A57" s="5" t="s">
        <v>203</v>
      </c>
      <c r="B57" s="5" t="s">
        <v>204</v>
      </c>
      <c r="C57" s="5" t="s">
        <v>16</v>
      </c>
      <c r="D57" s="5">
        <v>8</v>
      </c>
      <c r="E57" s="6">
        <v>45315</v>
      </c>
      <c r="F57" s="5" t="s">
        <v>118</v>
      </c>
      <c r="G57" s="5" t="s">
        <v>205</v>
      </c>
      <c r="H57" s="5" t="s">
        <v>206</v>
      </c>
      <c r="I57" s="5" t="s">
        <v>20</v>
      </c>
      <c r="J57" s="5" t="s">
        <v>21</v>
      </c>
      <c r="K57" s="5">
        <v>7</v>
      </c>
      <c r="L57" s="5" t="s">
        <v>51</v>
      </c>
      <c r="M57" s="7" t="str">
        <f t="shared" si="0"/>
        <v>Jan</v>
      </c>
      <c r="N57" s="2" t="str">
        <f t="shared" si="1"/>
        <v>Neutral</v>
      </c>
      <c r="O57" s="2" t="str">
        <f t="shared" si="2"/>
        <v>High</v>
      </c>
      <c r="P57" s="2" t="str">
        <f t="shared" si="3"/>
        <v>Short</v>
      </c>
      <c r="Q57" s="2" t="str">
        <f t="shared" si="4"/>
        <v>Within SLA</v>
      </c>
    </row>
    <row r="58" spans="1:17" x14ac:dyDescent="0.35">
      <c r="A58" s="5" t="s">
        <v>207</v>
      </c>
      <c r="B58" s="5" t="s">
        <v>208</v>
      </c>
      <c r="C58" s="5" t="s">
        <v>37</v>
      </c>
      <c r="D58" s="5">
        <v>4</v>
      </c>
      <c r="E58" s="6">
        <v>45315</v>
      </c>
      <c r="F58" s="5" t="s">
        <v>55</v>
      </c>
      <c r="G58" s="5" t="s">
        <v>209</v>
      </c>
      <c r="H58" s="5" t="s">
        <v>71</v>
      </c>
      <c r="I58" s="5" t="s">
        <v>28</v>
      </c>
      <c r="J58" s="5" t="s">
        <v>21</v>
      </c>
      <c r="K58" s="5">
        <v>30</v>
      </c>
      <c r="L58" s="5" t="s">
        <v>51</v>
      </c>
      <c r="M58" s="7" t="str">
        <f t="shared" si="0"/>
        <v>Jan</v>
      </c>
      <c r="N58" s="2" t="str">
        <f t="shared" si="1"/>
        <v>Negative</v>
      </c>
      <c r="O58" s="2" t="str">
        <f t="shared" si="2"/>
        <v>Low</v>
      </c>
      <c r="P58" s="2" t="str">
        <f t="shared" si="3"/>
        <v>Medium</v>
      </c>
      <c r="Q58" s="2" t="str">
        <f t="shared" si="4"/>
        <v>Within SLA</v>
      </c>
    </row>
    <row r="59" spans="1:17" x14ac:dyDescent="0.35">
      <c r="A59" s="5" t="s">
        <v>210</v>
      </c>
      <c r="B59" s="5" t="s">
        <v>211</v>
      </c>
      <c r="C59" s="5" t="s">
        <v>25</v>
      </c>
      <c r="D59" s="5">
        <v>4</v>
      </c>
      <c r="E59" s="6">
        <v>45315</v>
      </c>
      <c r="F59" s="5" t="s">
        <v>118</v>
      </c>
      <c r="G59" s="5" t="s">
        <v>109</v>
      </c>
      <c r="H59" s="5" t="s">
        <v>39</v>
      </c>
      <c r="I59" s="5" t="s">
        <v>20</v>
      </c>
      <c r="J59" s="5" t="s">
        <v>72</v>
      </c>
      <c r="K59" s="5">
        <v>22</v>
      </c>
      <c r="L59" s="5" t="s">
        <v>51</v>
      </c>
      <c r="M59" s="7" t="str">
        <f t="shared" si="0"/>
        <v>Jan</v>
      </c>
      <c r="N59" s="2" t="str">
        <f t="shared" si="1"/>
        <v>Negative</v>
      </c>
      <c r="O59" s="2" t="str">
        <f t="shared" si="2"/>
        <v>Low</v>
      </c>
      <c r="P59" s="2" t="str">
        <f t="shared" si="3"/>
        <v>Medium</v>
      </c>
      <c r="Q59" s="2" t="str">
        <f t="shared" si="4"/>
        <v>Above SLA</v>
      </c>
    </row>
    <row r="60" spans="1:17" x14ac:dyDescent="0.35">
      <c r="A60" s="5" t="s">
        <v>212</v>
      </c>
      <c r="B60" s="5" t="s">
        <v>213</v>
      </c>
      <c r="C60" s="5" t="s">
        <v>44</v>
      </c>
      <c r="D60" s="5">
        <v>7</v>
      </c>
      <c r="E60" s="6">
        <v>45316</v>
      </c>
      <c r="F60" s="5" t="s">
        <v>17</v>
      </c>
      <c r="G60" s="5" t="s">
        <v>214</v>
      </c>
      <c r="H60" s="5" t="s">
        <v>215</v>
      </c>
      <c r="I60" s="5" t="s">
        <v>28</v>
      </c>
      <c r="J60" s="5" t="s">
        <v>21</v>
      </c>
      <c r="K60" s="5">
        <v>8</v>
      </c>
      <c r="L60" s="5" t="s">
        <v>51</v>
      </c>
      <c r="M60" s="7" t="str">
        <f t="shared" si="0"/>
        <v>Jan</v>
      </c>
      <c r="N60" s="2" t="str">
        <f t="shared" si="1"/>
        <v>Positive</v>
      </c>
      <c r="O60" s="2" t="str">
        <f t="shared" si="2"/>
        <v>Medium</v>
      </c>
      <c r="P60" s="2" t="str">
        <f t="shared" si="3"/>
        <v>Short</v>
      </c>
      <c r="Q60" s="2" t="str">
        <f t="shared" si="4"/>
        <v>Within SLA</v>
      </c>
    </row>
    <row r="61" spans="1:17" x14ac:dyDescent="0.35">
      <c r="A61" s="5" t="s">
        <v>216</v>
      </c>
      <c r="B61" s="5" t="s">
        <v>217</v>
      </c>
      <c r="C61" s="5" t="s">
        <v>37</v>
      </c>
      <c r="D61" s="5">
        <v>3</v>
      </c>
      <c r="E61" s="6">
        <v>45316</v>
      </c>
      <c r="F61" s="5" t="s">
        <v>17</v>
      </c>
      <c r="G61" s="5" t="s">
        <v>218</v>
      </c>
      <c r="H61" s="5" t="s">
        <v>198</v>
      </c>
      <c r="I61" s="5" t="s">
        <v>20</v>
      </c>
      <c r="J61" s="5" t="s">
        <v>72</v>
      </c>
      <c r="K61" s="5">
        <v>44</v>
      </c>
      <c r="L61" s="5" t="s">
        <v>51</v>
      </c>
      <c r="M61" s="7" t="str">
        <f t="shared" si="0"/>
        <v>Jan</v>
      </c>
      <c r="N61" s="2" t="str">
        <f t="shared" si="1"/>
        <v>Negative</v>
      </c>
      <c r="O61" s="2" t="str">
        <f t="shared" si="2"/>
        <v>Low</v>
      </c>
      <c r="P61" s="2" t="str">
        <f t="shared" si="3"/>
        <v>Long</v>
      </c>
      <c r="Q61" s="2" t="str">
        <f t="shared" si="4"/>
        <v>Above SLA</v>
      </c>
    </row>
    <row r="62" spans="1:17" x14ac:dyDescent="0.35">
      <c r="A62" s="5" t="s">
        <v>219</v>
      </c>
      <c r="B62" s="5" t="s">
        <v>220</v>
      </c>
      <c r="C62" s="5" t="s">
        <v>37</v>
      </c>
      <c r="D62" s="5">
        <v>1</v>
      </c>
      <c r="E62" s="6">
        <v>45317</v>
      </c>
      <c r="F62" s="5" t="s">
        <v>17</v>
      </c>
      <c r="G62" s="5" t="s">
        <v>157</v>
      </c>
      <c r="H62" s="5" t="s">
        <v>158</v>
      </c>
      <c r="I62" s="5" t="s">
        <v>20</v>
      </c>
      <c r="J62" s="5" t="s">
        <v>21</v>
      </c>
      <c r="K62" s="5">
        <v>34</v>
      </c>
      <c r="L62" s="5" t="s">
        <v>51</v>
      </c>
      <c r="M62" s="7" t="str">
        <f t="shared" si="0"/>
        <v>Jan</v>
      </c>
      <c r="N62" s="2" t="str">
        <f t="shared" si="1"/>
        <v>Negative</v>
      </c>
      <c r="O62" s="2" t="str">
        <f t="shared" si="2"/>
        <v>Low</v>
      </c>
      <c r="P62" s="2" t="str">
        <f t="shared" si="3"/>
        <v>Long</v>
      </c>
      <c r="Q62" s="2" t="str">
        <f t="shared" si="4"/>
        <v>Within SLA</v>
      </c>
    </row>
    <row r="63" spans="1:17" x14ac:dyDescent="0.35">
      <c r="A63" s="5" t="s">
        <v>221</v>
      </c>
      <c r="B63" s="5" t="s">
        <v>222</v>
      </c>
      <c r="C63" s="5" t="s">
        <v>25</v>
      </c>
      <c r="D63" s="5">
        <v>6</v>
      </c>
      <c r="E63" s="6">
        <v>45317</v>
      </c>
      <c r="F63" s="5" t="s">
        <v>17</v>
      </c>
      <c r="G63" s="5" t="s">
        <v>122</v>
      </c>
      <c r="H63" s="5" t="s">
        <v>123</v>
      </c>
      <c r="I63" s="5" t="s">
        <v>28</v>
      </c>
      <c r="J63" s="5" t="s">
        <v>21</v>
      </c>
      <c r="K63" s="5">
        <v>18</v>
      </c>
      <c r="L63" s="5" t="s">
        <v>29</v>
      </c>
      <c r="M63" s="7" t="str">
        <f t="shared" si="0"/>
        <v>Jan</v>
      </c>
      <c r="N63" s="2" t="str">
        <f t="shared" si="1"/>
        <v>Negative</v>
      </c>
      <c r="O63" s="2" t="str">
        <f t="shared" si="2"/>
        <v>Medium</v>
      </c>
      <c r="P63" s="2" t="str">
        <f t="shared" si="3"/>
        <v>Medium</v>
      </c>
      <c r="Q63" s="2" t="str">
        <f t="shared" si="4"/>
        <v>Within SLA</v>
      </c>
    </row>
    <row r="64" spans="1:17" x14ac:dyDescent="0.35">
      <c r="A64" s="5" t="s">
        <v>223</v>
      </c>
      <c r="B64" s="5" t="s">
        <v>224</v>
      </c>
      <c r="C64" s="5" t="s">
        <v>25</v>
      </c>
      <c r="D64" s="5">
        <v>4</v>
      </c>
      <c r="E64" s="6">
        <v>45318</v>
      </c>
      <c r="F64" s="5" t="s">
        <v>17</v>
      </c>
      <c r="G64" s="5" t="s">
        <v>225</v>
      </c>
      <c r="H64" s="5" t="s">
        <v>202</v>
      </c>
      <c r="I64" s="5" t="s">
        <v>40</v>
      </c>
      <c r="J64" s="5" t="s">
        <v>21</v>
      </c>
      <c r="K64" s="5">
        <v>23</v>
      </c>
      <c r="L64" s="5" t="s">
        <v>29</v>
      </c>
      <c r="M64" s="7" t="str">
        <f t="shared" si="0"/>
        <v>Jan</v>
      </c>
      <c r="N64" s="2" t="str">
        <f t="shared" si="1"/>
        <v>Negative</v>
      </c>
      <c r="O64" s="2" t="str">
        <f t="shared" si="2"/>
        <v>Low</v>
      </c>
      <c r="P64" s="2" t="str">
        <f t="shared" si="3"/>
        <v>Medium</v>
      </c>
      <c r="Q64" s="2" t="str">
        <f t="shared" si="4"/>
        <v>Within SLA</v>
      </c>
    </row>
    <row r="65" spans="1:17" x14ac:dyDescent="0.35">
      <c r="A65" s="5" t="s">
        <v>226</v>
      </c>
      <c r="B65" s="5" t="s">
        <v>227</v>
      </c>
      <c r="C65" s="5" t="s">
        <v>16</v>
      </c>
      <c r="D65" s="5">
        <v>7</v>
      </c>
      <c r="E65" s="6">
        <v>45318</v>
      </c>
      <c r="F65" s="5" t="s">
        <v>17</v>
      </c>
      <c r="G65" s="5" t="s">
        <v>228</v>
      </c>
      <c r="H65" s="5" t="s">
        <v>198</v>
      </c>
      <c r="I65" s="5" t="s">
        <v>28</v>
      </c>
      <c r="J65" s="5" t="s">
        <v>21</v>
      </c>
      <c r="K65" s="5">
        <v>37</v>
      </c>
      <c r="L65" s="5" t="s">
        <v>29</v>
      </c>
      <c r="M65" s="7" t="str">
        <f t="shared" si="0"/>
        <v>Jan</v>
      </c>
      <c r="N65" s="2" t="str">
        <f t="shared" si="1"/>
        <v>Neutral</v>
      </c>
      <c r="O65" s="2" t="str">
        <f t="shared" si="2"/>
        <v>Medium</v>
      </c>
      <c r="P65" s="2" t="str">
        <f t="shared" si="3"/>
        <v>Long</v>
      </c>
      <c r="Q65" s="2" t="str">
        <f t="shared" si="4"/>
        <v>Within SLA</v>
      </c>
    </row>
    <row r="66" spans="1:17" x14ac:dyDescent="0.35">
      <c r="A66" s="5" t="s">
        <v>229</v>
      </c>
      <c r="B66" s="5" t="s">
        <v>230</v>
      </c>
      <c r="C66" s="5" t="s">
        <v>54</v>
      </c>
      <c r="D66" s="5">
        <v>9</v>
      </c>
      <c r="E66" s="6">
        <v>45319</v>
      </c>
      <c r="F66" s="5" t="s">
        <v>17</v>
      </c>
      <c r="G66" s="5" t="s">
        <v>231</v>
      </c>
      <c r="H66" s="5" t="s">
        <v>79</v>
      </c>
      <c r="I66" s="5" t="s">
        <v>47</v>
      </c>
      <c r="J66" s="5" t="s">
        <v>21</v>
      </c>
      <c r="K66" s="5">
        <v>14</v>
      </c>
      <c r="L66" s="5" t="s">
        <v>51</v>
      </c>
      <c r="M66" s="7" t="str">
        <f t="shared" si="0"/>
        <v>Jan</v>
      </c>
      <c r="N66" s="2" t="str">
        <f t="shared" si="1"/>
        <v>Positive</v>
      </c>
      <c r="O66" s="2" t="str">
        <f t="shared" si="2"/>
        <v>High</v>
      </c>
      <c r="P66" s="2" t="str">
        <f t="shared" si="3"/>
        <v>Short</v>
      </c>
      <c r="Q66" s="2" t="str">
        <f t="shared" si="4"/>
        <v>Within SLA</v>
      </c>
    </row>
    <row r="67" spans="1:17" x14ac:dyDescent="0.35">
      <c r="A67" s="5" t="s">
        <v>232</v>
      </c>
      <c r="B67" s="5" t="s">
        <v>233</v>
      </c>
      <c r="C67" s="5" t="s">
        <v>25</v>
      </c>
      <c r="D67" s="5">
        <v>5</v>
      </c>
      <c r="E67" s="6">
        <v>45319</v>
      </c>
      <c r="F67" s="5" t="s">
        <v>17</v>
      </c>
      <c r="G67" s="5" t="s">
        <v>234</v>
      </c>
      <c r="H67" s="5" t="s">
        <v>186</v>
      </c>
      <c r="I67" s="5" t="s">
        <v>47</v>
      </c>
      <c r="J67" s="5" t="s">
        <v>21</v>
      </c>
      <c r="K67" s="5">
        <v>31</v>
      </c>
      <c r="L67" s="5" t="s">
        <v>34</v>
      </c>
      <c r="M67" s="7" t="str">
        <f t="shared" si="0"/>
        <v>Jan</v>
      </c>
      <c r="N67" s="2" t="str">
        <f t="shared" si="1"/>
        <v>Negative</v>
      </c>
      <c r="O67" s="2" t="str">
        <f t="shared" si="2"/>
        <v>Medium</v>
      </c>
      <c r="P67" s="2" t="str">
        <f t="shared" si="3"/>
        <v>Long</v>
      </c>
      <c r="Q67" s="2" t="str">
        <f t="shared" si="4"/>
        <v>Within SLA</v>
      </c>
    </row>
    <row r="68" spans="1:17" x14ac:dyDescent="0.35">
      <c r="A68" s="5" t="s">
        <v>235</v>
      </c>
      <c r="B68" s="5" t="s">
        <v>236</v>
      </c>
      <c r="C68" s="5" t="s">
        <v>37</v>
      </c>
      <c r="D68" s="5">
        <v>1</v>
      </c>
      <c r="E68" s="6">
        <v>45320</v>
      </c>
      <c r="F68" s="5" t="s">
        <v>55</v>
      </c>
      <c r="G68" s="5" t="s">
        <v>237</v>
      </c>
      <c r="H68" s="5" t="s">
        <v>198</v>
      </c>
      <c r="I68" s="5" t="s">
        <v>28</v>
      </c>
      <c r="J68" s="5" t="s">
        <v>21</v>
      </c>
      <c r="K68" s="5">
        <v>10</v>
      </c>
      <c r="L68" s="5" t="s">
        <v>34</v>
      </c>
      <c r="M68" s="7" t="str">
        <f t="shared" si="0"/>
        <v>Jan</v>
      </c>
      <c r="N68" s="2" t="str">
        <f t="shared" si="1"/>
        <v>Negative</v>
      </c>
      <c r="O68" s="2" t="str">
        <f t="shared" si="2"/>
        <v>Low</v>
      </c>
      <c r="P68" s="2" t="str">
        <f t="shared" si="3"/>
        <v>Short</v>
      </c>
      <c r="Q68" s="2" t="str">
        <f t="shared" si="4"/>
        <v>Within SLA</v>
      </c>
    </row>
    <row r="69" spans="1:17" x14ac:dyDescent="0.35">
      <c r="A69" s="5" t="s">
        <v>238</v>
      </c>
      <c r="B69" s="5" t="s">
        <v>239</v>
      </c>
      <c r="C69" s="5" t="s">
        <v>25</v>
      </c>
      <c r="D69" s="5">
        <v>3</v>
      </c>
      <c r="E69" s="6">
        <v>45320</v>
      </c>
      <c r="F69" s="5" t="s">
        <v>17</v>
      </c>
      <c r="G69" s="5" t="s">
        <v>240</v>
      </c>
      <c r="H69" s="5" t="s">
        <v>33</v>
      </c>
      <c r="I69" s="5" t="s">
        <v>20</v>
      </c>
      <c r="J69" s="5" t="s">
        <v>72</v>
      </c>
      <c r="K69" s="5">
        <v>45</v>
      </c>
      <c r="L69" s="5" t="s">
        <v>51</v>
      </c>
      <c r="M69" s="7" t="str">
        <f t="shared" si="0"/>
        <v>Jan</v>
      </c>
      <c r="N69" s="2" t="str">
        <f t="shared" si="1"/>
        <v>Negative</v>
      </c>
      <c r="O69" s="2" t="str">
        <f t="shared" si="2"/>
        <v>Low</v>
      </c>
      <c r="P69" s="2" t="str">
        <f t="shared" si="3"/>
        <v>Long</v>
      </c>
      <c r="Q69" s="2" t="str">
        <f t="shared" si="4"/>
        <v>Above SLA</v>
      </c>
    </row>
    <row r="70" spans="1:17" x14ac:dyDescent="0.35">
      <c r="A70" s="5" t="s">
        <v>241</v>
      </c>
      <c r="B70" s="5" t="s">
        <v>242</v>
      </c>
      <c r="C70" s="5" t="s">
        <v>25</v>
      </c>
      <c r="D70" s="5">
        <v>5</v>
      </c>
      <c r="E70" s="6">
        <v>45320</v>
      </c>
      <c r="F70" s="5" t="s">
        <v>17</v>
      </c>
      <c r="G70" s="5" t="s">
        <v>59</v>
      </c>
      <c r="H70" s="5" t="s">
        <v>60</v>
      </c>
      <c r="I70" s="5" t="s">
        <v>40</v>
      </c>
      <c r="J70" s="5" t="s">
        <v>21</v>
      </c>
      <c r="K70" s="5">
        <v>8</v>
      </c>
      <c r="L70" s="5" t="s">
        <v>34</v>
      </c>
      <c r="M70" s="7" t="str">
        <f t="shared" si="0"/>
        <v>Jan</v>
      </c>
      <c r="N70" s="2" t="str">
        <f t="shared" si="1"/>
        <v>Negative</v>
      </c>
      <c r="O70" s="2" t="str">
        <f t="shared" si="2"/>
        <v>Medium</v>
      </c>
      <c r="P70" s="2" t="str">
        <f t="shared" si="3"/>
        <v>Short</v>
      </c>
      <c r="Q70" s="2" t="str">
        <f t="shared" si="4"/>
        <v>Within SLA</v>
      </c>
    </row>
    <row r="71" spans="1:17" x14ac:dyDescent="0.35">
      <c r="A71" s="5" t="s">
        <v>243</v>
      </c>
      <c r="B71" s="5" t="s">
        <v>244</v>
      </c>
      <c r="C71" s="5" t="s">
        <v>44</v>
      </c>
      <c r="D71" s="5">
        <v>8</v>
      </c>
      <c r="E71" s="6">
        <v>45320</v>
      </c>
      <c r="F71" s="5" t="s">
        <v>17</v>
      </c>
      <c r="G71" s="5" t="s">
        <v>245</v>
      </c>
      <c r="H71" s="5" t="s">
        <v>71</v>
      </c>
      <c r="I71" s="5" t="s">
        <v>40</v>
      </c>
      <c r="J71" s="5" t="s">
        <v>41</v>
      </c>
      <c r="K71" s="5">
        <v>35</v>
      </c>
      <c r="L71" s="5" t="s">
        <v>29</v>
      </c>
      <c r="M71" s="7" t="str">
        <f t="shared" si="0"/>
        <v>Jan</v>
      </c>
      <c r="N71" s="2" t="str">
        <f t="shared" si="1"/>
        <v>Positive</v>
      </c>
      <c r="O71" s="2" t="str">
        <f t="shared" si="2"/>
        <v>High</v>
      </c>
      <c r="P71" s="2" t="str">
        <f t="shared" si="3"/>
        <v>Long</v>
      </c>
      <c r="Q71" s="2" t="str">
        <f t="shared" si="4"/>
        <v>Above SLA</v>
      </c>
    </row>
    <row r="72" spans="1:17" x14ac:dyDescent="0.35">
      <c r="A72" s="5" t="s">
        <v>246</v>
      </c>
      <c r="B72" s="5" t="s">
        <v>247</v>
      </c>
      <c r="C72" s="5" t="s">
        <v>54</v>
      </c>
      <c r="D72" s="5">
        <v>9</v>
      </c>
      <c r="E72" s="6">
        <v>45320</v>
      </c>
      <c r="F72" s="5" t="s">
        <v>55</v>
      </c>
      <c r="G72" s="5" t="s">
        <v>112</v>
      </c>
      <c r="H72" s="5" t="s">
        <v>33</v>
      </c>
      <c r="I72" s="5" t="s">
        <v>28</v>
      </c>
      <c r="J72" s="5" t="s">
        <v>21</v>
      </c>
      <c r="K72" s="5">
        <v>33</v>
      </c>
      <c r="L72" s="5" t="s">
        <v>29</v>
      </c>
      <c r="M72" s="7" t="str">
        <f t="shared" ref="M72:M76" si="5">TEXT(E72,"mmm")</f>
        <v>Jan</v>
      </c>
      <c r="N72" s="2" t="str">
        <f t="shared" ref="N72:N76" si="6">IF(OR(C72="Positive",C72="Very Positive"),"Positive",IF(OR(C72="Negative",C72="Very Negative"),"Negative","Neutral"))</f>
        <v>Positive</v>
      </c>
      <c r="O72" s="2" t="str">
        <f t="shared" ref="O72:O75" si="7">IF(D72&lt;=4,"Low",
IF(D72&lt;=7,"Medium","High"))</f>
        <v>High</v>
      </c>
      <c r="P72" s="2" t="str">
        <f t="shared" ref="P72:P76" si="8">IF(K72&lt;=15,"Short",
IF(K72&lt;=30,"Medium","Long"))</f>
        <v>Long</v>
      </c>
      <c r="Q72" s="2" t="str">
        <f t="shared" ref="Q72:Q76" si="9">IF(J72="Within SLA","Within SLA","Above SLA")</f>
        <v>Within SLA</v>
      </c>
    </row>
    <row r="73" spans="1:17" x14ac:dyDescent="0.35">
      <c r="A73" s="5" t="s">
        <v>248</v>
      </c>
      <c r="B73" s="5" t="s">
        <v>249</v>
      </c>
      <c r="C73" s="5" t="s">
        <v>16</v>
      </c>
      <c r="D73" s="5">
        <v>8</v>
      </c>
      <c r="E73" s="6">
        <v>45321</v>
      </c>
      <c r="F73" s="5" t="s">
        <v>55</v>
      </c>
      <c r="G73" s="5" t="s">
        <v>197</v>
      </c>
      <c r="H73" s="5" t="s">
        <v>198</v>
      </c>
      <c r="I73" s="5" t="s">
        <v>28</v>
      </c>
      <c r="J73" s="5" t="s">
        <v>21</v>
      </c>
      <c r="K73" s="5">
        <v>8</v>
      </c>
      <c r="L73" s="5" t="s">
        <v>51</v>
      </c>
      <c r="M73" s="7" t="str">
        <f t="shared" si="5"/>
        <v>Jan</v>
      </c>
      <c r="N73" s="2" t="str">
        <f t="shared" si="6"/>
        <v>Neutral</v>
      </c>
      <c r="O73" s="2" t="str">
        <f t="shared" si="7"/>
        <v>High</v>
      </c>
      <c r="P73" s="2" t="str">
        <f t="shared" si="8"/>
        <v>Short</v>
      </c>
      <c r="Q73" s="2" t="str">
        <f t="shared" si="9"/>
        <v>Within SLA</v>
      </c>
    </row>
    <row r="74" spans="1:17" x14ac:dyDescent="0.35">
      <c r="A74" s="5" t="s">
        <v>250</v>
      </c>
      <c r="B74" s="5" t="s">
        <v>251</v>
      </c>
      <c r="C74" s="5" t="s">
        <v>25</v>
      </c>
      <c r="D74" s="5">
        <v>3</v>
      </c>
      <c r="E74" s="6">
        <v>45321</v>
      </c>
      <c r="F74" s="5" t="s">
        <v>17</v>
      </c>
      <c r="G74" s="5" t="s">
        <v>252</v>
      </c>
      <c r="H74" s="5" t="s">
        <v>253</v>
      </c>
      <c r="I74" s="5" t="s">
        <v>47</v>
      </c>
      <c r="J74" s="5" t="s">
        <v>21</v>
      </c>
      <c r="K74" s="5">
        <v>19</v>
      </c>
      <c r="L74" s="5" t="s">
        <v>51</v>
      </c>
      <c r="M74" s="7" t="str">
        <f t="shared" si="5"/>
        <v>Jan</v>
      </c>
      <c r="N74" s="2" t="str">
        <f t="shared" si="6"/>
        <v>Negative</v>
      </c>
      <c r="O74" s="2" t="str">
        <f t="shared" si="7"/>
        <v>Low</v>
      </c>
      <c r="P74" s="2" t="str">
        <f t="shared" si="8"/>
        <v>Medium</v>
      </c>
      <c r="Q74" s="2" t="str">
        <f t="shared" si="9"/>
        <v>Within SLA</v>
      </c>
    </row>
    <row r="75" spans="1:17" x14ac:dyDescent="0.35">
      <c r="A75" s="5" t="s">
        <v>254</v>
      </c>
      <c r="B75" s="5" t="s">
        <v>255</v>
      </c>
      <c r="C75" s="5" t="s">
        <v>25</v>
      </c>
      <c r="D75" s="5">
        <v>3</v>
      </c>
      <c r="E75" s="6">
        <v>45322</v>
      </c>
      <c r="F75" s="5" t="s">
        <v>17</v>
      </c>
      <c r="G75" s="5" t="s">
        <v>252</v>
      </c>
      <c r="H75" s="5" t="s">
        <v>256</v>
      </c>
      <c r="I75" s="5" t="s">
        <v>47</v>
      </c>
      <c r="J75" s="5" t="s">
        <v>21</v>
      </c>
      <c r="K75" s="5">
        <v>23</v>
      </c>
      <c r="L75" s="5" t="s">
        <v>29</v>
      </c>
      <c r="M75" s="7" t="str">
        <f t="shared" si="5"/>
        <v>Jan</v>
      </c>
      <c r="N75" s="2" t="str">
        <f t="shared" si="6"/>
        <v>Negative</v>
      </c>
      <c r="O75" s="2" t="str">
        <f t="shared" si="7"/>
        <v>Low</v>
      </c>
      <c r="P75" s="2" t="str">
        <f t="shared" si="8"/>
        <v>Medium</v>
      </c>
      <c r="Q75" s="2" t="str">
        <f t="shared" si="9"/>
        <v>Within SLA</v>
      </c>
    </row>
    <row r="76" spans="1:17" x14ac:dyDescent="0.35">
      <c r="A76" s="5" t="s">
        <v>257</v>
      </c>
      <c r="B76" s="5" t="s">
        <v>258</v>
      </c>
      <c r="C76" s="5" t="s">
        <v>25</v>
      </c>
      <c r="D76" s="5">
        <v>5</v>
      </c>
      <c r="E76" s="6">
        <v>45322</v>
      </c>
      <c r="F76" s="5" t="s">
        <v>118</v>
      </c>
      <c r="G76" s="5" t="s">
        <v>101</v>
      </c>
      <c r="H76" s="5" t="s">
        <v>102</v>
      </c>
      <c r="I76" s="5" t="s">
        <v>20</v>
      </c>
      <c r="J76" s="5" t="s">
        <v>41</v>
      </c>
      <c r="K76" s="5">
        <v>35</v>
      </c>
      <c r="L76" s="5" t="s">
        <v>29</v>
      </c>
      <c r="M76" s="7" t="str">
        <f t="shared" si="5"/>
        <v>Jan</v>
      </c>
      <c r="N76" s="2" t="str">
        <f t="shared" si="6"/>
        <v>Negative</v>
      </c>
      <c r="O76" s="2" t="str">
        <f>IF(D76&lt;=4,"Low",
IF(D76&lt;=7,"Medium","High"))</f>
        <v>Medium</v>
      </c>
      <c r="P76" s="2" t="str">
        <f t="shared" si="8"/>
        <v>Long</v>
      </c>
      <c r="Q76" s="2" t="str">
        <f t="shared" si="9"/>
        <v>Above SLA</v>
      </c>
    </row>
  </sheetData>
  <autoFilter ref="A6:N6" xr:uid="{BD313138-9CBD-4035-AB67-31EA62F60B54}"/>
  <mergeCells count="2">
    <mergeCell ref="H2:I2"/>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51580-FB7A-410E-BCE9-4AAFB1A371B7}">
  <dimension ref="A1:P38"/>
  <sheetViews>
    <sheetView showGridLines="0" tabSelected="1" zoomScale="90" zoomScaleNormal="90" workbookViewId="0">
      <selection activeCell="L9" sqref="L9"/>
    </sheetView>
  </sheetViews>
  <sheetFormatPr defaultRowHeight="14.5" x14ac:dyDescent="0.35"/>
  <cols>
    <col min="1" max="1" width="12.81640625" bestFit="1" customWidth="1"/>
    <col min="2" max="2" width="13.453125" bestFit="1" customWidth="1"/>
    <col min="3" max="3" width="13.453125" customWidth="1"/>
    <col min="4" max="4" width="12.7265625" bestFit="1" customWidth="1"/>
    <col min="5" max="5" width="13.453125" bestFit="1" customWidth="1"/>
    <col min="6" max="7" width="12.54296875" bestFit="1" customWidth="1"/>
    <col min="8" max="8" width="17.453125" bestFit="1" customWidth="1"/>
    <col min="9" max="9" width="5" bestFit="1" customWidth="1"/>
    <col min="10" max="10" width="9.81640625" customWidth="1"/>
    <col min="11" max="11" width="12" customWidth="1"/>
  </cols>
  <sheetData>
    <row r="1" spans="1:16" ht="15" thickBot="1" x14ac:dyDescent="0.4">
      <c r="A1" s="48" t="s">
        <v>305</v>
      </c>
      <c r="B1" s="48"/>
      <c r="C1" s="48"/>
      <c r="D1" s="48"/>
      <c r="E1" s="48"/>
      <c r="F1" s="48"/>
      <c r="G1" s="48"/>
      <c r="H1" s="48"/>
      <c r="I1" s="48"/>
      <c r="J1" s="48"/>
    </row>
    <row r="2" spans="1:16" ht="15" thickBot="1" x14ac:dyDescent="0.4">
      <c r="A2" s="48"/>
      <c r="B2" s="48"/>
      <c r="C2" s="48"/>
      <c r="D2" s="48"/>
      <c r="E2" s="48"/>
      <c r="F2" s="48"/>
      <c r="G2" s="48"/>
      <c r="H2" s="48"/>
      <c r="I2" s="48"/>
      <c r="J2" s="48"/>
    </row>
    <row r="3" spans="1:16" ht="15" thickBot="1" x14ac:dyDescent="0.4">
      <c r="A3" s="48"/>
      <c r="B3" s="48"/>
      <c r="C3" s="48"/>
      <c r="D3" s="48"/>
      <c r="E3" s="48"/>
      <c r="F3" s="48"/>
      <c r="G3" s="48"/>
      <c r="H3" s="48"/>
      <c r="I3" s="48"/>
      <c r="J3" s="48"/>
    </row>
    <row r="4" spans="1:16" ht="15" thickBot="1" x14ac:dyDescent="0.4">
      <c r="A4" s="48"/>
      <c r="B4" s="48"/>
      <c r="C4" s="48"/>
      <c r="D4" s="48"/>
      <c r="E4" s="48"/>
      <c r="F4" s="48"/>
      <c r="G4" s="48"/>
      <c r="H4" s="48"/>
      <c r="I4" s="48"/>
      <c r="J4" s="48"/>
    </row>
    <row r="5" spans="1:16" x14ac:dyDescent="0.35">
      <c r="A5" s="28"/>
      <c r="B5" s="28"/>
      <c r="C5" s="28"/>
      <c r="D5" s="28"/>
      <c r="E5" s="28"/>
      <c r="F5" s="28"/>
      <c r="H5" s="28"/>
      <c r="I5" s="28"/>
      <c r="J5" s="28"/>
      <c r="K5" s="28"/>
    </row>
    <row r="6" spans="1:16" x14ac:dyDescent="0.35">
      <c r="A6" s="22" t="s">
        <v>4</v>
      </c>
      <c r="B6" t="s">
        <v>266</v>
      </c>
      <c r="D6" s="22" t="s">
        <v>7</v>
      </c>
      <c r="E6" t="s">
        <v>266</v>
      </c>
      <c r="F6" t="s">
        <v>269</v>
      </c>
      <c r="G6" s="22"/>
      <c r="H6" s="22" t="s">
        <v>301</v>
      </c>
      <c r="I6" t="s">
        <v>266</v>
      </c>
      <c r="J6" s="22"/>
      <c r="K6" s="22"/>
      <c r="L6" s="22"/>
      <c r="M6" s="22"/>
      <c r="N6" s="22"/>
    </row>
    <row r="7" spans="1:16" x14ac:dyDescent="0.35">
      <c r="A7" s="23" t="s">
        <v>25</v>
      </c>
      <c r="B7" s="35">
        <v>0.62857142857142856</v>
      </c>
      <c r="C7" s="35"/>
      <c r="D7" s="23" t="s">
        <v>118</v>
      </c>
      <c r="E7" s="27">
        <v>8</v>
      </c>
      <c r="F7" s="26">
        <v>31.625</v>
      </c>
      <c r="H7" s="29" t="s">
        <v>270</v>
      </c>
      <c r="I7" s="24">
        <v>2</v>
      </c>
    </row>
    <row r="8" spans="1:16" x14ac:dyDescent="0.35">
      <c r="A8" s="23" t="s">
        <v>16</v>
      </c>
      <c r="B8" s="35">
        <v>0.12857142857142856</v>
      </c>
      <c r="C8" s="35"/>
      <c r="D8" s="23" t="s">
        <v>17</v>
      </c>
      <c r="E8" s="27">
        <v>50</v>
      </c>
      <c r="F8" s="26">
        <v>26.98</v>
      </c>
      <c r="H8" s="29" t="s">
        <v>271</v>
      </c>
      <c r="I8" s="24">
        <v>3</v>
      </c>
      <c r="J8" s="22"/>
      <c r="K8" s="22"/>
      <c r="L8" s="22"/>
    </row>
    <row r="9" spans="1:16" x14ac:dyDescent="0.35">
      <c r="A9" s="23" t="s">
        <v>44</v>
      </c>
      <c r="B9" s="35">
        <v>0.24285714285714285</v>
      </c>
      <c r="C9" s="35"/>
      <c r="D9" s="23" t="s">
        <v>55</v>
      </c>
      <c r="E9" s="27">
        <v>12</v>
      </c>
      <c r="F9" s="26">
        <v>19.666666666666668</v>
      </c>
      <c r="H9" s="29" t="s">
        <v>272</v>
      </c>
      <c r="I9" s="24">
        <v>2</v>
      </c>
    </row>
    <row r="10" spans="1:16" x14ac:dyDescent="0.35">
      <c r="A10" s="23" t="s">
        <v>265</v>
      </c>
      <c r="B10" s="35">
        <v>1</v>
      </c>
      <c r="C10" s="35"/>
      <c r="D10" s="23" t="s">
        <v>265</v>
      </c>
      <c r="E10" s="27">
        <v>70</v>
      </c>
      <c r="F10" s="26">
        <v>26.257142857142856</v>
      </c>
      <c r="H10" s="29" t="s">
        <v>273</v>
      </c>
      <c r="I10" s="24">
        <v>2</v>
      </c>
    </row>
    <row r="11" spans="1:16" x14ac:dyDescent="0.35">
      <c r="A11" s="28"/>
      <c r="B11" s="28"/>
      <c r="C11" s="28"/>
      <c r="H11" s="29" t="s">
        <v>274</v>
      </c>
      <c r="I11" s="24">
        <v>2</v>
      </c>
    </row>
    <row r="12" spans="1:16" x14ac:dyDescent="0.35">
      <c r="A12" s="22" t="s">
        <v>10</v>
      </c>
      <c r="B12" s="22" t="s">
        <v>267</v>
      </c>
      <c r="C12" s="22"/>
      <c r="D12" s="22" t="s">
        <v>4</v>
      </c>
      <c r="E12" s="22" t="s">
        <v>266</v>
      </c>
      <c r="F12" s="22" t="s">
        <v>268</v>
      </c>
      <c r="G12" s="22" t="s">
        <v>269</v>
      </c>
      <c r="H12" s="101" t="s">
        <v>275</v>
      </c>
      <c r="I12" s="102">
        <v>2</v>
      </c>
      <c r="J12" s="22"/>
      <c r="K12" s="22"/>
      <c r="L12" s="22"/>
      <c r="M12" s="22"/>
      <c r="N12" s="22"/>
      <c r="O12" s="22"/>
      <c r="P12" s="22"/>
    </row>
    <row r="13" spans="1:16" x14ac:dyDescent="0.35">
      <c r="A13" s="23" t="s">
        <v>28</v>
      </c>
      <c r="B13" s="25">
        <v>5.6956521739130439</v>
      </c>
      <c r="C13" s="25"/>
      <c r="D13" s="23" t="s">
        <v>25</v>
      </c>
      <c r="E13" s="27">
        <v>29</v>
      </c>
      <c r="F13" s="25">
        <v>4.1724137931034484</v>
      </c>
      <c r="G13" s="26">
        <v>27.689655172413794</v>
      </c>
      <c r="H13" s="29" t="s">
        <v>276</v>
      </c>
      <c r="I13" s="24">
        <v>2</v>
      </c>
      <c r="J13" s="33"/>
      <c r="K13" s="47"/>
      <c r="L13" s="47"/>
    </row>
    <row r="14" spans="1:16" x14ac:dyDescent="0.35">
      <c r="A14" s="23" t="s">
        <v>20</v>
      </c>
      <c r="B14" s="25">
        <v>4.8181818181818183</v>
      </c>
      <c r="C14" s="25"/>
      <c r="D14" s="23" t="s">
        <v>16</v>
      </c>
      <c r="E14" s="27">
        <v>9</v>
      </c>
      <c r="F14" s="25">
        <v>7</v>
      </c>
      <c r="G14" s="26">
        <v>20.444444444444443</v>
      </c>
      <c r="H14" s="29" t="s">
        <v>277</v>
      </c>
      <c r="I14" s="24">
        <v>4</v>
      </c>
      <c r="J14" s="22"/>
    </row>
    <row r="15" spans="1:16" x14ac:dyDescent="0.35">
      <c r="A15" s="23" t="s">
        <v>40</v>
      </c>
      <c r="B15" s="25">
        <v>5.5</v>
      </c>
      <c r="C15" s="25"/>
      <c r="D15" s="23" t="s">
        <v>44</v>
      </c>
      <c r="E15" s="27">
        <v>10</v>
      </c>
      <c r="F15" s="25">
        <v>7.7</v>
      </c>
      <c r="G15" s="26">
        <v>24.5</v>
      </c>
      <c r="H15" s="29" t="s">
        <v>278</v>
      </c>
      <c r="I15" s="24">
        <v>2</v>
      </c>
    </row>
    <row r="16" spans="1:16" x14ac:dyDescent="0.35">
      <c r="A16" s="23" t="s">
        <v>47</v>
      </c>
      <c r="B16" s="25">
        <v>5.4117647058823533</v>
      </c>
      <c r="C16" s="25"/>
      <c r="D16" s="23" t="s">
        <v>37</v>
      </c>
      <c r="E16" s="27">
        <v>15</v>
      </c>
      <c r="F16" s="25">
        <v>3.0666666666666669</v>
      </c>
      <c r="G16" s="26">
        <v>29.133333333333333</v>
      </c>
      <c r="H16" s="29" t="s">
        <v>279</v>
      </c>
      <c r="I16" s="24">
        <v>2</v>
      </c>
    </row>
    <row r="17" spans="1:16" x14ac:dyDescent="0.35">
      <c r="A17" s="23" t="s">
        <v>265</v>
      </c>
      <c r="B17" s="25">
        <v>5.3285714285714283</v>
      </c>
      <c r="C17" s="25"/>
      <c r="D17" s="23" t="s">
        <v>54</v>
      </c>
      <c r="E17" s="27">
        <v>7</v>
      </c>
      <c r="F17" s="25">
        <v>9.4285714285714288</v>
      </c>
      <c r="G17" s="26">
        <v>24.142857142857142</v>
      </c>
      <c r="H17" s="29" t="s">
        <v>280</v>
      </c>
      <c r="I17" s="24">
        <v>2</v>
      </c>
    </row>
    <row r="18" spans="1:16" x14ac:dyDescent="0.35">
      <c r="D18" s="23" t="s">
        <v>265</v>
      </c>
      <c r="E18" s="27">
        <v>70</v>
      </c>
      <c r="F18" s="25">
        <v>5.3285714285714283</v>
      </c>
      <c r="G18" s="26">
        <v>26.257142857142856</v>
      </c>
      <c r="H18" s="29" t="s">
        <v>281</v>
      </c>
      <c r="I18" s="24">
        <v>2</v>
      </c>
      <c r="J18" s="22"/>
      <c r="K18" s="22"/>
      <c r="L18" s="22"/>
    </row>
    <row r="19" spans="1:16" x14ac:dyDescent="0.35">
      <c r="D19" s="23"/>
      <c r="E19" s="27"/>
      <c r="F19" s="25"/>
      <c r="G19" s="26"/>
      <c r="H19" s="29" t="s">
        <v>282</v>
      </c>
      <c r="I19" s="24">
        <v>2</v>
      </c>
    </row>
    <row r="20" spans="1:16" x14ac:dyDescent="0.35">
      <c r="A20" s="22" t="s">
        <v>13</v>
      </c>
      <c r="B20" t="s">
        <v>268</v>
      </c>
      <c r="D20" s="22" t="s">
        <v>263</v>
      </c>
      <c r="E20" s="22" t="s">
        <v>266</v>
      </c>
      <c r="F20" s="22" t="s">
        <v>268</v>
      </c>
      <c r="G20" s="34"/>
      <c r="H20" s="101" t="s">
        <v>283</v>
      </c>
      <c r="I20" s="102">
        <v>2</v>
      </c>
      <c r="J20" s="22"/>
      <c r="K20" s="22"/>
      <c r="L20" s="22"/>
      <c r="M20" s="22"/>
      <c r="N20" s="22"/>
      <c r="O20" s="22"/>
      <c r="P20" s="22"/>
    </row>
    <row r="21" spans="1:16" x14ac:dyDescent="0.35">
      <c r="A21" s="23" t="s">
        <v>29</v>
      </c>
      <c r="B21" s="25">
        <v>6</v>
      </c>
      <c r="C21" s="25"/>
      <c r="D21" s="23" t="s">
        <v>72</v>
      </c>
      <c r="E21" s="27">
        <v>17</v>
      </c>
      <c r="F21" s="25">
        <v>4.5882352941176467</v>
      </c>
      <c r="G21" s="34"/>
      <c r="H21" s="29" t="s">
        <v>284</v>
      </c>
      <c r="I21" s="24">
        <v>2</v>
      </c>
      <c r="J21" s="22"/>
      <c r="K21" s="22"/>
      <c r="L21" s="22"/>
      <c r="M21" s="22"/>
      <c r="N21" s="22"/>
    </row>
    <row r="22" spans="1:16" x14ac:dyDescent="0.35">
      <c r="A22" s="23" t="s">
        <v>51</v>
      </c>
      <c r="B22" s="25">
        <v>5.1481481481481479</v>
      </c>
      <c r="C22" s="25"/>
      <c r="D22" s="23" t="s">
        <v>21</v>
      </c>
      <c r="E22" s="27">
        <v>53</v>
      </c>
      <c r="F22" s="25">
        <v>5.5660377358490569</v>
      </c>
      <c r="G22" s="26"/>
      <c r="H22" s="29" t="s">
        <v>285</v>
      </c>
      <c r="I22" s="24">
        <v>2</v>
      </c>
    </row>
    <row r="23" spans="1:16" x14ac:dyDescent="0.35">
      <c r="A23" s="23" t="s">
        <v>22</v>
      </c>
      <c r="B23" s="25">
        <v>4.7142857142857144</v>
      </c>
      <c r="C23" s="25"/>
      <c r="D23" s="23" t="s">
        <v>265</v>
      </c>
      <c r="E23" s="27">
        <v>70</v>
      </c>
      <c r="F23" s="25">
        <v>5.3285714285714283</v>
      </c>
      <c r="H23" s="29" t="s">
        <v>286</v>
      </c>
      <c r="I23" s="24">
        <v>2</v>
      </c>
    </row>
    <row r="24" spans="1:16" x14ac:dyDescent="0.35">
      <c r="A24" s="23" t="s">
        <v>34</v>
      </c>
      <c r="B24" s="25">
        <v>3.5</v>
      </c>
      <c r="C24" s="25"/>
      <c r="F24" s="28"/>
      <c r="G24" s="28"/>
      <c r="H24" s="29" t="s">
        <v>287</v>
      </c>
      <c r="I24" s="24">
        <v>2</v>
      </c>
    </row>
    <row r="25" spans="1:16" x14ac:dyDescent="0.35">
      <c r="A25" s="23" t="s">
        <v>265</v>
      </c>
      <c r="B25" s="25">
        <v>5.3285714285714283</v>
      </c>
      <c r="C25" s="25"/>
      <c r="H25" s="29" t="s">
        <v>288</v>
      </c>
      <c r="I25" s="24">
        <v>2</v>
      </c>
      <c r="J25" s="22"/>
      <c r="K25" s="22"/>
    </row>
    <row r="26" spans="1:16" x14ac:dyDescent="0.35">
      <c r="H26" s="29" t="s">
        <v>289</v>
      </c>
      <c r="I26" s="24">
        <v>2</v>
      </c>
    </row>
    <row r="27" spans="1:16" x14ac:dyDescent="0.35">
      <c r="F27" s="22"/>
      <c r="G27" s="22"/>
      <c r="H27" s="29" t="s">
        <v>290</v>
      </c>
      <c r="I27" s="24">
        <v>2</v>
      </c>
      <c r="J27" s="22"/>
      <c r="K27" s="22"/>
      <c r="L27" s="22"/>
      <c r="M27" s="22"/>
      <c r="N27" s="22"/>
    </row>
    <row r="28" spans="1:16" x14ac:dyDescent="0.35">
      <c r="F28" s="22"/>
      <c r="G28" s="22"/>
      <c r="H28" s="101" t="s">
        <v>291</v>
      </c>
      <c r="I28" s="102">
        <v>2</v>
      </c>
      <c r="J28" s="22"/>
      <c r="K28" s="22"/>
      <c r="L28" s="22"/>
      <c r="M28" s="22"/>
      <c r="N28" s="22"/>
      <c r="O28" s="22"/>
      <c r="P28" s="22"/>
    </row>
    <row r="29" spans="1:16" x14ac:dyDescent="0.35">
      <c r="H29" s="29" t="s">
        <v>292</v>
      </c>
      <c r="I29" s="24">
        <v>2</v>
      </c>
    </row>
    <row r="30" spans="1:16" x14ac:dyDescent="0.35">
      <c r="H30" s="29" t="s">
        <v>293</v>
      </c>
      <c r="I30" s="24">
        <v>4</v>
      </c>
    </row>
    <row r="31" spans="1:16" x14ac:dyDescent="0.35">
      <c r="H31" s="29" t="s">
        <v>294</v>
      </c>
      <c r="I31" s="24">
        <v>2</v>
      </c>
    </row>
    <row r="32" spans="1:16" x14ac:dyDescent="0.35">
      <c r="H32" s="29" t="s">
        <v>295</v>
      </c>
      <c r="I32" s="24">
        <v>2</v>
      </c>
    </row>
    <row r="33" spans="8:9" x14ac:dyDescent="0.35">
      <c r="H33" s="29" t="s">
        <v>296</v>
      </c>
      <c r="I33" s="24">
        <v>2</v>
      </c>
    </row>
    <row r="34" spans="8:9" x14ac:dyDescent="0.35">
      <c r="H34" s="29" t="s">
        <v>297</v>
      </c>
      <c r="I34" s="24">
        <v>2</v>
      </c>
    </row>
    <row r="35" spans="8:9" x14ac:dyDescent="0.35">
      <c r="H35" s="29" t="s">
        <v>298</v>
      </c>
      <c r="I35" s="24">
        <v>5</v>
      </c>
    </row>
    <row r="36" spans="8:9" x14ac:dyDescent="0.35">
      <c r="H36" s="29" t="s">
        <v>299</v>
      </c>
      <c r="I36" s="24">
        <v>2</v>
      </c>
    </row>
    <row r="37" spans="8:9" x14ac:dyDescent="0.35">
      <c r="H37" s="29" t="s">
        <v>300</v>
      </c>
      <c r="I37" s="24">
        <v>2</v>
      </c>
    </row>
    <row r="38" spans="8:9" x14ac:dyDescent="0.35">
      <c r="H38" s="29" t="s">
        <v>265</v>
      </c>
      <c r="I38" s="24">
        <v>70</v>
      </c>
    </row>
  </sheetData>
  <mergeCells count="2">
    <mergeCell ref="K13:L13"/>
    <mergeCell ref="A1:J4"/>
  </mergeCells>
  <pageMargins left="0.7" right="0.7" top="0.75" bottom="0.75" header="0.3" footer="0.3"/>
  <pageSetup orientation="portrait"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39277-E4C9-4ED4-8334-FC0E812B2A7D}">
  <dimension ref="A1:Z64"/>
  <sheetViews>
    <sheetView showGridLines="0" topLeftCell="A18" zoomScale="60" zoomScaleNormal="60" zoomScaleSheetLayoutView="70" workbookViewId="0">
      <selection activeCell="X13" sqref="X13"/>
    </sheetView>
  </sheetViews>
  <sheetFormatPr defaultRowHeight="14.5" x14ac:dyDescent="0.35"/>
  <cols>
    <col min="1" max="1" width="8.7265625" customWidth="1"/>
    <col min="2" max="2" width="17.36328125" customWidth="1"/>
    <col min="3" max="3" width="16.08984375" customWidth="1"/>
    <col min="4" max="4" width="10.7265625" customWidth="1"/>
    <col min="5" max="5" width="9.08984375" customWidth="1"/>
    <col min="8" max="8" width="15.81640625" customWidth="1"/>
    <col min="9" max="9" width="12.90625" customWidth="1"/>
    <col min="12" max="12" width="14.6328125" customWidth="1"/>
    <col min="13" max="13" width="12.36328125" customWidth="1"/>
    <col min="23" max="23" width="10" customWidth="1"/>
    <col min="24" max="24" width="26.6328125" customWidth="1"/>
    <col min="25" max="25" width="7.453125" customWidth="1"/>
    <col min="26" max="26" width="16.90625" bestFit="1" customWidth="1"/>
  </cols>
  <sheetData>
    <row r="1" spans="1:26" ht="14.5" customHeight="1" thickBot="1" x14ac:dyDescent="0.4">
      <c r="A1" s="56" t="s">
        <v>305</v>
      </c>
      <c r="B1" s="56"/>
      <c r="C1" s="56"/>
      <c r="D1" s="56"/>
      <c r="E1" s="56"/>
      <c r="F1" s="56"/>
      <c r="G1" s="56"/>
      <c r="H1" s="56"/>
      <c r="I1" s="56"/>
      <c r="J1" s="56"/>
      <c r="K1" s="56"/>
      <c r="L1" s="56"/>
      <c r="M1" s="56"/>
      <c r="N1" s="56"/>
      <c r="O1" s="56"/>
      <c r="P1" s="56"/>
      <c r="Q1" s="56"/>
      <c r="R1" s="56"/>
      <c r="S1" s="56"/>
      <c r="T1" s="56"/>
      <c r="U1" s="56"/>
      <c r="V1" s="56"/>
      <c r="W1" s="57"/>
    </row>
    <row r="2" spans="1:26" ht="14.5" customHeight="1" thickBot="1" x14ac:dyDescent="0.4">
      <c r="A2" s="58"/>
      <c r="B2" s="58"/>
      <c r="C2" s="58"/>
      <c r="D2" s="58"/>
      <c r="E2" s="58"/>
      <c r="F2" s="58"/>
      <c r="G2" s="58"/>
      <c r="H2" s="58"/>
      <c r="I2" s="58"/>
      <c r="J2" s="58"/>
      <c r="K2" s="58"/>
      <c r="L2" s="58"/>
      <c r="M2" s="58"/>
      <c r="N2" s="58"/>
      <c r="O2" s="58"/>
      <c r="P2" s="58"/>
      <c r="Q2" s="58"/>
      <c r="R2" s="58"/>
      <c r="S2" s="58"/>
      <c r="T2" s="58"/>
      <c r="U2" s="58"/>
      <c r="V2" s="58"/>
      <c r="W2" s="59"/>
    </row>
    <row r="3" spans="1:26" ht="14.5" customHeight="1" thickBot="1" x14ac:dyDescent="0.4">
      <c r="A3" s="58"/>
      <c r="B3" s="58"/>
      <c r="C3" s="58"/>
      <c r="D3" s="58"/>
      <c r="E3" s="58"/>
      <c r="F3" s="58"/>
      <c r="G3" s="58"/>
      <c r="H3" s="58"/>
      <c r="I3" s="58"/>
      <c r="J3" s="58"/>
      <c r="K3" s="58"/>
      <c r="L3" s="58"/>
      <c r="M3" s="58"/>
      <c r="N3" s="58"/>
      <c r="O3" s="58"/>
      <c r="P3" s="58"/>
      <c r="Q3" s="58"/>
      <c r="R3" s="58"/>
      <c r="S3" s="58"/>
      <c r="T3" s="58"/>
      <c r="U3" s="58"/>
      <c r="V3" s="58"/>
      <c r="W3" s="59"/>
    </row>
    <row r="4" spans="1:26" ht="14.5" customHeight="1" thickBot="1" x14ac:dyDescent="0.4">
      <c r="A4" s="58"/>
      <c r="B4" s="58"/>
      <c r="C4" s="58"/>
      <c r="D4" s="58"/>
      <c r="E4" s="58"/>
      <c r="F4" s="58"/>
      <c r="G4" s="58"/>
      <c r="H4" s="58"/>
      <c r="I4" s="58"/>
      <c r="J4" s="58"/>
      <c r="K4" s="58"/>
      <c r="L4" s="58"/>
      <c r="M4" s="58"/>
      <c r="N4" s="58"/>
      <c r="O4" s="58"/>
      <c r="P4" s="58"/>
      <c r="Q4" s="58"/>
      <c r="R4" s="58"/>
      <c r="S4" s="58"/>
      <c r="T4" s="58"/>
      <c r="U4" s="58"/>
      <c r="V4" s="58"/>
      <c r="W4" s="59"/>
    </row>
    <row r="5" spans="1:26" ht="14.5" customHeight="1" thickBot="1" x14ac:dyDescent="0.4">
      <c r="A5" s="60"/>
      <c r="B5" s="60"/>
      <c r="C5" s="60"/>
      <c r="D5" s="60"/>
      <c r="E5" s="60"/>
      <c r="F5" s="60"/>
      <c r="G5" s="60"/>
      <c r="H5" s="60"/>
      <c r="I5" s="60"/>
      <c r="J5" s="60"/>
      <c r="K5" s="60"/>
      <c r="L5" s="60"/>
      <c r="M5" s="60"/>
      <c r="N5" s="60"/>
      <c r="O5" s="60"/>
      <c r="P5" s="60"/>
      <c r="Q5" s="60"/>
      <c r="R5" s="60"/>
      <c r="S5" s="60"/>
      <c r="T5" s="60"/>
      <c r="U5" s="60"/>
      <c r="V5" s="60"/>
      <c r="W5" s="61"/>
    </row>
    <row r="6" spans="1:26" ht="15" customHeight="1" thickBot="1" x14ac:dyDescent="0.4">
      <c r="C6" s="62" t="s">
        <v>302</v>
      </c>
      <c r="D6" s="63"/>
      <c r="E6" s="63"/>
      <c r="F6" s="64"/>
      <c r="G6" s="62" t="s">
        <v>268</v>
      </c>
      <c r="H6" s="63"/>
      <c r="I6" s="64"/>
      <c r="J6" s="62" t="s">
        <v>303</v>
      </c>
      <c r="K6" s="63"/>
      <c r="L6" s="63"/>
      <c r="M6" s="64"/>
      <c r="N6" s="62" t="s">
        <v>304</v>
      </c>
      <c r="O6" s="63"/>
      <c r="P6" s="63"/>
      <c r="Q6" s="63"/>
      <c r="R6" s="64"/>
      <c r="S6" s="83" t="s">
        <v>306</v>
      </c>
      <c r="T6" s="84"/>
      <c r="U6" s="84"/>
      <c r="V6" s="84"/>
      <c r="W6" s="85"/>
      <c r="Z6" s="22"/>
    </row>
    <row r="7" spans="1:26" ht="15" customHeight="1" thickBot="1" x14ac:dyDescent="0.4">
      <c r="B7" s="32"/>
      <c r="C7" s="65"/>
      <c r="D7" s="66"/>
      <c r="E7" s="66"/>
      <c r="F7" s="67"/>
      <c r="G7" s="65"/>
      <c r="H7" s="66"/>
      <c r="I7" s="67"/>
      <c r="J7" s="80"/>
      <c r="K7" s="81"/>
      <c r="L7" s="81"/>
      <c r="M7" s="82"/>
      <c r="N7" s="80"/>
      <c r="O7" s="81"/>
      <c r="P7" s="81"/>
      <c r="Q7" s="81"/>
      <c r="R7" s="82"/>
      <c r="S7" s="86"/>
      <c r="T7" s="87"/>
      <c r="U7" s="87"/>
      <c r="V7" s="87"/>
      <c r="W7" s="88"/>
    </row>
    <row r="8" spans="1:26" ht="14.5" customHeight="1" thickBot="1" x14ac:dyDescent="0.4">
      <c r="C8" s="68">
        <f>GETPIVOTDATA("Calls",Analysis!D12)</f>
        <v>70</v>
      </c>
      <c r="D8" s="69"/>
      <c r="E8" s="69"/>
      <c r="F8" s="70"/>
      <c r="G8" s="74">
        <f>GETPIVOTDATA("Avg CSAT",Analysis!D12)</f>
        <v>5.3285714285714283</v>
      </c>
      <c r="H8" s="75"/>
      <c r="I8" s="76"/>
      <c r="J8" s="89">
        <f>IFERROR((GETPIVOTDATA("Calls",Analysis!D12,"Sentiment","Negative")+GETPIVOTDATA("Calls",Analysis!D12,"Sentiment","Very Negative"))/GETPIVOTDATA("Calls",Analysis!D12),0)</f>
        <v>0.62857142857142856</v>
      </c>
      <c r="K8" s="90"/>
      <c r="L8" s="90"/>
      <c r="M8" s="91"/>
      <c r="N8" s="95">
        <f>IFERROR(GETPIVOTDATA("Calls",Analysis!D20,"SLA Status","Within SLA")/GETPIVOTDATA("Calls",Analysis!D20),0)</f>
        <v>0.75714285714285712</v>
      </c>
      <c r="O8" s="96"/>
      <c r="P8" s="96"/>
      <c r="Q8" s="96"/>
      <c r="R8" s="97"/>
      <c r="S8" s="50">
        <f>GETPIVOTDATA("Avg Duration",Analysis!D12)</f>
        <v>26.257142857142856</v>
      </c>
      <c r="T8" s="51"/>
      <c r="U8" s="51"/>
      <c r="V8" s="51"/>
      <c r="W8" s="52"/>
    </row>
    <row r="9" spans="1:26" ht="14.5" customHeight="1" thickBot="1" x14ac:dyDescent="0.4">
      <c r="C9" s="71"/>
      <c r="D9" s="72"/>
      <c r="E9" s="72"/>
      <c r="F9" s="73"/>
      <c r="G9" s="77"/>
      <c r="H9" s="78"/>
      <c r="I9" s="79"/>
      <c r="J9" s="92"/>
      <c r="K9" s="93"/>
      <c r="L9" s="93"/>
      <c r="M9" s="94"/>
      <c r="N9" s="98"/>
      <c r="O9" s="99"/>
      <c r="P9" s="99"/>
      <c r="Q9" s="99"/>
      <c r="R9" s="100"/>
      <c r="S9" s="53"/>
      <c r="T9" s="54"/>
      <c r="U9" s="54"/>
      <c r="V9" s="54"/>
      <c r="W9" s="55"/>
    </row>
    <row r="10" spans="1:26" ht="15" customHeight="1" x14ac:dyDescent="0.35">
      <c r="C10" s="30"/>
      <c r="D10" s="30"/>
      <c r="E10" s="31"/>
      <c r="F10" s="30"/>
      <c r="G10" s="30"/>
      <c r="H10" s="30"/>
      <c r="I10" s="30"/>
      <c r="J10" s="31"/>
      <c r="K10" s="31"/>
      <c r="L10" s="31"/>
      <c r="M10" s="30"/>
      <c r="N10" s="30"/>
      <c r="O10" s="30"/>
    </row>
    <row r="11" spans="1:26" ht="15" customHeight="1" x14ac:dyDescent="0.35">
      <c r="C11" s="49"/>
      <c r="D11" s="49"/>
      <c r="E11" s="30"/>
      <c r="F11" s="30"/>
      <c r="G11" s="30"/>
      <c r="H11" s="30"/>
      <c r="I11" s="30"/>
      <c r="J11" s="30"/>
      <c r="K11" s="30"/>
      <c r="L11" s="30"/>
      <c r="M11" s="30"/>
      <c r="N11" s="30"/>
      <c r="O11" s="30"/>
      <c r="Z11" s="22"/>
    </row>
    <row r="12" spans="1:26" ht="15" customHeight="1" x14ac:dyDescent="0.35">
      <c r="C12" s="30"/>
      <c r="D12" s="30"/>
      <c r="E12" s="30"/>
      <c r="F12" s="30"/>
      <c r="G12" s="30"/>
      <c r="H12" s="30"/>
      <c r="I12" s="30"/>
      <c r="J12" s="30"/>
      <c r="K12" s="30"/>
      <c r="L12" s="30"/>
      <c r="M12" s="30"/>
      <c r="N12" s="30"/>
      <c r="O12" s="30"/>
    </row>
    <row r="13" spans="1:26" ht="15" customHeight="1" x14ac:dyDescent="0.35">
      <c r="C13" s="30"/>
      <c r="D13" s="30"/>
      <c r="E13" s="30"/>
      <c r="F13" s="30"/>
      <c r="G13" s="30"/>
      <c r="H13" s="30"/>
      <c r="I13" s="30"/>
      <c r="J13" s="30"/>
      <c r="K13" s="30"/>
      <c r="L13" s="30"/>
      <c r="M13" s="30"/>
      <c r="N13" s="30"/>
      <c r="O13" s="30"/>
    </row>
    <row r="14" spans="1:26" ht="15" customHeight="1" x14ac:dyDescent="0.35">
      <c r="C14" s="30"/>
      <c r="D14" s="30"/>
      <c r="E14" s="30"/>
      <c r="F14" s="30"/>
      <c r="G14" s="30"/>
      <c r="H14" s="30"/>
      <c r="I14" s="30"/>
      <c r="J14" s="30"/>
      <c r="K14" s="30"/>
      <c r="L14" s="30"/>
      <c r="M14" s="30"/>
      <c r="N14" s="30"/>
      <c r="O14" s="30"/>
    </row>
    <row r="15" spans="1:26" ht="15" customHeight="1" x14ac:dyDescent="0.35">
      <c r="C15" s="30"/>
      <c r="D15" s="30"/>
      <c r="E15" s="30"/>
      <c r="F15" s="30"/>
      <c r="G15" s="30"/>
      <c r="H15" s="30"/>
      <c r="I15" s="30"/>
      <c r="J15" s="30"/>
      <c r="K15" s="30"/>
      <c r="L15" s="30"/>
      <c r="M15" s="30"/>
      <c r="N15" s="30"/>
      <c r="O15" s="30"/>
    </row>
    <row r="16" spans="1:26" x14ac:dyDescent="0.35">
      <c r="C16" s="30"/>
      <c r="D16" s="30"/>
      <c r="E16" s="30"/>
      <c r="F16" s="30"/>
      <c r="G16" s="30"/>
      <c r="H16" s="30"/>
      <c r="I16" s="30"/>
      <c r="J16" s="30"/>
      <c r="K16" s="30"/>
      <c r="L16" s="30"/>
      <c r="M16" s="30"/>
      <c r="N16" s="30"/>
      <c r="O16" s="30"/>
    </row>
    <row r="17" spans="3:15" x14ac:dyDescent="0.35">
      <c r="C17" s="30"/>
      <c r="D17" s="30"/>
      <c r="E17" s="30"/>
      <c r="F17" s="30"/>
      <c r="G17" s="30"/>
      <c r="H17" s="30"/>
      <c r="I17" s="30"/>
      <c r="J17" s="30"/>
      <c r="K17" s="30"/>
      <c r="L17" s="30"/>
      <c r="M17" s="30"/>
      <c r="N17" s="30"/>
      <c r="O17" s="30"/>
    </row>
    <row r="18" spans="3:15" x14ac:dyDescent="0.35">
      <c r="C18" s="30"/>
      <c r="D18" s="30"/>
      <c r="E18" s="30"/>
      <c r="F18" s="30"/>
      <c r="G18" s="30"/>
      <c r="H18" s="30"/>
      <c r="I18" s="30"/>
      <c r="J18" s="30"/>
      <c r="K18" s="30"/>
      <c r="L18" s="30"/>
      <c r="M18" s="30"/>
      <c r="N18" s="30"/>
      <c r="O18" s="30"/>
    </row>
    <row r="19" spans="3:15" x14ac:dyDescent="0.35">
      <c r="C19" s="30"/>
      <c r="D19" s="30"/>
      <c r="E19" s="30"/>
      <c r="F19" s="30"/>
      <c r="G19" s="30"/>
      <c r="H19" s="30"/>
      <c r="I19" s="30"/>
      <c r="J19" s="30"/>
      <c r="K19" s="30"/>
      <c r="L19" s="30"/>
      <c r="M19" s="30"/>
      <c r="N19" s="30"/>
      <c r="O19" s="30"/>
    </row>
    <row r="20" spans="3:15" x14ac:dyDescent="0.35">
      <c r="C20" s="30"/>
      <c r="D20" s="30"/>
      <c r="E20" s="30"/>
      <c r="F20" s="30"/>
      <c r="G20" s="30"/>
      <c r="H20" s="30"/>
      <c r="I20" s="30"/>
      <c r="J20" s="30"/>
      <c r="K20" s="30"/>
      <c r="L20" s="30"/>
      <c r="M20" s="30"/>
      <c r="N20" s="30"/>
      <c r="O20" s="30"/>
    </row>
    <row r="21" spans="3:15" x14ac:dyDescent="0.35">
      <c r="C21" s="49"/>
      <c r="D21" s="49"/>
      <c r="E21" s="30"/>
      <c r="F21" s="30"/>
      <c r="G21" s="30"/>
      <c r="H21" s="30"/>
      <c r="I21" s="30"/>
      <c r="J21" s="30"/>
      <c r="K21" s="30"/>
      <c r="L21" s="30"/>
      <c r="M21" s="30"/>
      <c r="N21" s="30"/>
      <c r="O21" s="30"/>
    </row>
    <row r="22" spans="3:15" x14ac:dyDescent="0.35">
      <c r="C22" s="30"/>
      <c r="D22" s="30"/>
      <c r="E22" s="30"/>
      <c r="F22" s="30"/>
      <c r="G22" s="30"/>
      <c r="H22" s="30"/>
      <c r="I22" s="30"/>
      <c r="J22" s="30"/>
      <c r="K22" s="30"/>
      <c r="L22" s="30"/>
      <c r="M22" s="30"/>
      <c r="N22" s="30"/>
      <c r="O22" s="30"/>
    </row>
    <row r="23" spans="3:15" x14ac:dyDescent="0.35">
      <c r="C23" s="30"/>
      <c r="D23" s="30"/>
      <c r="E23" s="30"/>
      <c r="F23" s="30"/>
      <c r="G23" s="30"/>
      <c r="H23" s="30"/>
      <c r="I23" s="30"/>
      <c r="J23" s="30"/>
      <c r="K23" s="30"/>
      <c r="L23" s="30"/>
      <c r="M23" s="30"/>
      <c r="N23" s="30"/>
      <c r="O23" s="30"/>
    </row>
    <row r="24" spans="3:15" x14ac:dyDescent="0.35">
      <c r="C24" s="30"/>
      <c r="D24" s="30"/>
      <c r="E24" s="30"/>
      <c r="F24" s="30"/>
      <c r="G24" s="30"/>
      <c r="H24" s="30"/>
      <c r="I24" s="30"/>
      <c r="J24" s="30"/>
      <c r="K24" s="30"/>
      <c r="L24" s="30"/>
      <c r="M24" s="30"/>
      <c r="N24" s="30"/>
      <c r="O24" s="30"/>
    </row>
    <row r="25" spans="3:15" x14ac:dyDescent="0.35">
      <c r="C25" s="30"/>
      <c r="D25" s="30"/>
      <c r="E25" s="30"/>
      <c r="F25" s="30"/>
      <c r="G25" s="30"/>
      <c r="H25" s="30"/>
      <c r="I25" s="30"/>
      <c r="J25" s="30"/>
      <c r="K25" s="30"/>
      <c r="L25" s="30"/>
      <c r="M25" s="30"/>
      <c r="N25" s="30"/>
      <c r="O25" s="30"/>
    </row>
    <row r="26" spans="3:15" x14ac:dyDescent="0.35">
      <c r="C26" s="30"/>
      <c r="D26" s="30"/>
      <c r="E26" s="30"/>
      <c r="F26" s="30"/>
      <c r="G26" s="30"/>
      <c r="H26" s="30"/>
      <c r="I26" s="30"/>
      <c r="J26" s="30"/>
      <c r="K26" s="30"/>
      <c r="L26" s="30"/>
      <c r="M26" s="30"/>
      <c r="N26" s="30"/>
      <c r="O26" s="30"/>
    </row>
    <row r="27" spans="3:15" x14ac:dyDescent="0.35">
      <c r="C27" s="30"/>
      <c r="D27" s="30"/>
      <c r="E27" s="30"/>
      <c r="F27" s="30"/>
      <c r="G27" s="30"/>
      <c r="H27" s="30"/>
      <c r="I27" s="30"/>
      <c r="J27" s="30"/>
      <c r="K27" s="30"/>
      <c r="L27" s="30"/>
      <c r="M27" s="30"/>
      <c r="N27" s="30"/>
      <c r="O27" s="30"/>
    </row>
    <row r="28" spans="3:15" x14ac:dyDescent="0.35">
      <c r="C28" s="30"/>
      <c r="D28" s="30"/>
      <c r="E28" s="30"/>
      <c r="F28" s="30"/>
      <c r="G28" s="30"/>
      <c r="H28" s="30"/>
      <c r="I28" s="30"/>
      <c r="J28" s="30"/>
      <c r="K28" s="30"/>
      <c r="L28" s="30"/>
      <c r="M28" s="30"/>
      <c r="N28" s="30"/>
      <c r="O28" s="30"/>
    </row>
    <row r="29" spans="3:15" x14ac:dyDescent="0.35">
      <c r="C29" s="30"/>
      <c r="D29" s="30"/>
      <c r="E29" s="30"/>
      <c r="F29" s="30"/>
      <c r="G29" s="30"/>
      <c r="H29" s="30"/>
      <c r="I29" s="30"/>
      <c r="J29" s="30"/>
      <c r="K29" s="30"/>
      <c r="L29" s="30"/>
      <c r="M29" s="30"/>
      <c r="N29" s="30"/>
      <c r="O29" s="30"/>
    </row>
    <row r="30" spans="3:15" x14ac:dyDescent="0.35">
      <c r="C30" s="30"/>
      <c r="D30" s="30"/>
      <c r="E30" s="30"/>
      <c r="F30" s="30"/>
      <c r="G30" s="30"/>
      <c r="H30" s="30"/>
      <c r="I30" s="30"/>
      <c r="J30" s="30"/>
      <c r="K30" s="30"/>
      <c r="L30" s="30"/>
      <c r="M30" s="30"/>
      <c r="N30" s="30"/>
      <c r="O30" s="30"/>
    </row>
    <row r="31" spans="3:15" x14ac:dyDescent="0.35">
      <c r="C31" s="30"/>
      <c r="D31" s="30"/>
      <c r="E31" s="30"/>
      <c r="F31" s="30"/>
      <c r="G31" s="30"/>
      <c r="H31" s="30"/>
      <c r="I31" s="30"/>
      <c r="J31" s="30"/>
      <c r="K31" s="30"/>
      <c r="L31" s="30"/>
      <c r="M31" s="30"/>
      <c r="N31" s="30"/>
      <c r="O31" s="30"/>
    </row>
    <row r="32" spans="3:15" x14ac:dyDescent="0.35">
      <c r="C32" s="30"/>
      <c r="D32" s="30"/>
      <c r="E32" s="30"/>
      <c r="F32" s="30"/>
      <c r="G32" s="30"/>
      <c r="H32" s="30"/>
      <c r="I32" s="30"/>
      <c r="J32" s="30"/>
      <c r="K32" s="30"/>
      <c r="L32" s="30"/>
      <c r="M32" s="30"/>
      <c r="N32" s="30"/>
      <c r="O32" s="30"/>
    </row>
    <row r="33" spans="3:18" x14ac:dyDescent="0.35">
      <c r="C33" s="30"/>
      <c r="D33" s="30"/>
      <c r="E33" s="30"/>
      <c r="F33" s="30"/>
      <c r="G33" s="30"/>
      <c r="H33" s="30"/>
      <c r="I33" s="30"/>
      <c r="J33" s="30"/>
      <c r="K33" s="30"/>
      <c r="L33" s="30"/>
      <c r="M33" s="30"/>
      <c r="N33" s="30"/>
      <c r="O33" s="30"/>
    </row>
    <row r="34" spans="3:18" x14ac:dyDescent="0.35">
      <c r="C34" s="30"/>
      <c r="D34" s="30"/>
      <c r="E34" s="30"/>
      <c r="F34" s="30"/>
      <c r="G34" s="30"/>
      <c r="H34" s="30"/>
      <c r="I34" s="30"/>
      <c r="J34" s="30"/>
      <c r="K34" s="30"/>
      <c r="L34" s="30"/>
      <c r="M34" s="30"/>
      <c r="N34" s="30"/>
      <c r="O34" s="30"/>
    </row>
    <row r="35" spans="3:18" x14ac:dyDescent="0.35">
      <c r="C35" s="30"/>
      <c r="D35" s="30"/>
      <c r="E35" s="30"/>
      <c r="F35" s="30"/>
      <c r="G35" s="30"/>
      <c r="H35" s="30"/>
      <c r="I35" s="30"/>
      <c r="J35" s="30"/>
      <c r="K35" s="30"/>
      <c r="L35" s="30"/>
      <c r="M35" s="30"/>
      <c r="N35" s="30"/>
      <c r="O35" s="30"/>
    </row>
    <row r="36" spans="3:18" x14ac:dyDescent="0.35">
      <c r="C36" s="30"/>
      <c r="D36" s="30"/>
      <c r="E36" s="30"/>
      <c r="F36" s="30"/>
      <c r="G36" s="30"/>
      <c r="H36" s="30"/>
      <c r="I36" s="30"/>
      <c r="J36" s="30"/>
      <c r="K36" s="30"/>
      <c r="L36" s="30"/>
      <c r="M36" s="30"/>
      <c r="N36" s="30"/>
      <c r="O36" s="30"/>
    </row>
    <row r="37" spans="3:18" x14ac:dyDescent="0.35">
      <c r="C37" s="30"/>
      <c r="D37" s="30"/>
      <c r="E37" s="30"/>
      <c r="F37" s="30"/>
      <c r="G37" s="30"/>
      <c r="H37" s="30"/>
      <c r="I37" s="30"/>
      <c r="J37" s="30"/>
      <c r="K37" s="30"/>
      <c r="L37" s="30"/>
      <c r="M37" s="30"/>
      <c r="N37" s="30"/>
      <c r="O37" s="30"/>
    </row>
    <row r="38" spans="3:18" x14ac:dyDescent="0.35">
      <c r="C38" s="30"/>
      <c r="D38" s="30"/>
      <c r="E38" s="30"/>
      <c r="F38" s="30"/>
      <c r="G38" s="30"/>
      <c r="H38" s="30"/>
      <c r="I38" s="30"/>
      <c r="J38" s="30"/>
      <c r="K38" s="30"/>
      <c r="L38" s="30"/>
      <c r="M38" s="30"/>
      <c r="N38" s="30"/>
      <c r="O38" s="30"/>
    </row>
    <row r="39" spans="3:18" x14ac:dyDescent="0.35">
      <c r="C39" s="30"/>
      <c r="D39" s="30"/>
      <c r="E39" s="30"/>
      <c r="F39" s="30"/>
      <c r="G39" s="30"/>
      <c r="H39" s="30"/>
      <c r="I39" s="30"/>
      <c r="J39" s="30"/>
      <c r="K39" s="30"/>
      <c r="L39" s="30"/>
      <c r="M39" s="30"/>
      <c r="N39" s="30"/>
      <c r="O39" s="30"/>
    </row>
    <row r="40" spans="3:18" x14ac:dyDescent="0.35">
      <c r="C40" s="30"/>
      <c r="D40" s="30"/>
      <c r="E40" s="30"/>
      <c r="F40" s="30"/>
      <c r="G40" s="30"/>
      <c r="H40" s="30"/>
      <c r="I40" s="30"/>
      <c r="J40" s="30"/>
      <c r="K40" s="30"/>
      <c r="L40" s="30"/>
      <c r="M40" s="30"/>
      <c r="N40" s="30"/>
      <c r="O40" s="30"/>
    </row>
    <row r="41" spans="3:18" x14ac:dyDescent="0.35">
      <c r="C41" s="30"/>
      <c r="D41" s="30"/>
      <c r="E41" s="30"/>
      <c r="F41" s="30"/>
      <c r="G41" s="30"/>
      <c r="H41" s="30"/>
      <c r="I41" s="30"/>
      <c r="J41" s="30"/>
      <c r="K41" s="30"/>
      <c r="L41" s="30"/>
      <c r="M41" s="30"/>
      <c r="N41" s="30"/>
      <c r="O41" s="30"/>
    </row>
    <row r="42" spans="3:18" x14ac:dyDescent="0.35">
      <c r="C42" s="30"/>
      <c r="D42" s="30"/>
      <c r="E42" s="30"/>
      <c r="F42" s="30"/>
      <c r="G42" s="30"/>
      <c r="H42" s="30"/>
      <c r="I42" s="30"/>
      <c r="J42" s="30"/>
      <c r="K42" s="30"/>
      <c r="L42" s="30"/>
      <c r="M42" s="30"/>
      <c r="N42" s="30"/>
      <c r="O42" s="30"/>
    </row>
    <row r="43" spans="3:18" x14ac:dyDescent="0.35">
      <c r="C43" s="30"/>
      <c r="D43" s="30"/>
      <c r="E43" s="30"/>
      <c r="F43" s="30"/>
      <c r="G43" s="30"/>
      <c r="H43" s="30"/>
      <c r="I43" s="30"/>
      <c r="J43" s="30"/>
      <c r="K43" s="30"/>
      <c r="L43" s="30"/>
      <c r="M43" s="30"/>
      <c r="N43" s="42"/>
      <c r="O43" s="30"/>
    </row>
    <row r="44" spans="3:18" x14ac:dyDescent="0.35">
      <c r="C44" s="30"/>
      <c r="D44" s="30"/>
      <c r="E44" s="30"/>
      <c r="F44" s="30"/>
      <c r="G44" s="30"/>
      <c r="H44" s="30"/>
      <c r="I44" s="30"/>
      <c r="J44" s="30"/>
      <c r="K44" s="30"/>
      <c r="L44" s="30"/>
      <c r="M44" s="30"/>
      <c r="N44" s="30"/>
      <c r="O44" s="30"/>
    </row>
    <row r="45" spans="3:18" ht="15" customHeight="1" x14ac:dyDescent="0.35">
      <c r="C45" s="30"/>
      <c r="D45" s="30"/>
      <c r="E45" s="30"/>
      <c r="F45" s="30"/>
      <c r="G45" s="30"/>
      <c r="H45" s="36"/>
      <c r="I45" s="36"/>
      <c r="J45" s="36"/>
      <c r="K45" s="36"/>
      <c r="L45" s="36"/>
      <c r="M45" s="36"/>
      <c r="N45" s="36"/>
      <c r="O45" s="36"/>
      <c r="P45" s="36"/>
      <c r="Q45" s="36"/>
      <c r="R45" s="31"/>
    </row>
    <row r="46" spans="3:18" ht="15" customHeight="1" x14ac:dyDescent="0.35">
      <c r="C46" s="30"/>
      <c r="D46" s="30"/>
      <c r="E46" s="30"/>
      <c r="F46" s="30"/>
      <c r="G46" s="30"/>
      <c r="H46" s="36"/>
      <c r="I46" s="36"/>
      <c r="J46" s="36"/>
      <c r="K46" s="36"/>
      <c r="L46" s="36"/>
      <c r="M46" s="36"/>
      <c r="N46" s="36"/>
      <c r="O46" s="36"/>
      <c r="P46" s="36"/>
      <c r="Q46" s="36"/>
      <c r="R46" s="31"/>
    </row>
    <row r="47" spans="3:18" ht="15" customHeight="1" x14ac:dyDescent="0.35">
      <c r="C47" s="30"/>
      <c r="D47" s="30"/>
      <c r="E47" s="30"/>
      <c r="F47" s="30"/>
      <c r="G47" s="30"/>
      <c r="H47" s="37"/>
      <c r="I47" s="37"/>
      <c r="J47" s="38"/>
      <c r="K47" s="37"/>
      <c r="L47" s="41"/>
      <c r="M47" s="41"/>
      <c r="N47" s="39"/>
      <c r="O47" s="39"/>
      <c r="P47" s="40"/>
      <c r="Q47" s="40"/>
      <c r="R47" s="31"/>
    </row>
    <row r="48" spans="3:18" ht="15" customHeight="1" x14ac:dyDescent="0.35">
      <c r="C48" s="30"/>
      <c r="D48" s="30"/>
      <c r="E48" s="30"/>
      <c r="F48" s="30"/>
      <c r="G48" s="30"/>
      <c r="H48" s="37"/>
      <c r="I48" s="37"/>
      <c r="J48" s="37"/>
      <c r="K48" s="37"/>
      <c r="L48" s="41"/>
      <c r="M48" s="41"/>
      <c r="N48" s="39"/>
      <c r="O48" s="39"/>
      <c r="P48" s="40"/>
      <c r="Q48" s="40"/>
      <c r="R48" s="31"/>
    </row>
    <row r="49" spans="3:15" x14ac:dyDescent="0.35">
      <c r="C49" s="30"/>
      <c r="D49" s="30"/>
      <c r="E49" s="30"/>
      <c r="F49" s="30"/>
      <c r="G49" s="30"/>
      <c r="H49" s="30"/>
      <c r="I49" s="30"/>
      <c r="J49" s="30"/>
      <c r="K49" s="30"/>
      <c r="L49" s="30"/>
      <c r="M49" s="30"/>
      <c r="N49" s="30"/>
      <c r="O49" s="30"/>
    </row>
    <row r="50" spans="3:15" x14ac:dyDescent="0.35">
      <c r="C50" s="30"/>
      <c r="D50" s="30"/>
      <c r="E50" s="30"/>
      <c r="F50" s="30"/>
      <c r="G50" s="30"/>
      <c r="H50" s="30"/>
      <c r="I50" s="30"/>
      <c r="J50" s="30"/>
      <c r="K50" s="30"/>
      <c r="L50" s="30"/>
      <c r="M50" s="30"/>
      <c r="N50" s="30"/>
      <c r="O50" s="30"/>
    </row>
    <row r="51" spans="3:15" x14ac:dyDescent="0.35">
      <c r="C51" s="30"/>
      <c r="D51" s="30"/>
      <c r="E51" s="30"/>
      <c r="F51" s="30"/>
      <c r="G51" s="30"/>
      <c r="H51" s="30"/>
      <c r="I51" s="30"/>
      <c r="J51" s="30"/>
      <c r="K51" s="30"/>
      <c r="L51" s="30"/>
      <c r="M51" s="30"/>
      <c r="N51" s="30"/>
      <c r="O51" s="30"/>
    </row>
    <row r="52" spans="3:15" x14ac:dyDescent="0.35">
      <c r="C52" s="30"/>
      <c r="D52" s="30"/>
      <c r="E52" s="30"/>
      <c r="F52" s="30"/>
      <c r="G52" s="30"/>
      <c r="H52" s="30"/>
      <c r="I52" s="30"/>
      <c r="J52" s="30"/>
      <c r="K52" s="30"/>
      <c r="L52" s="30"/>
      <c r="M52" s="30"/>
      <c r="N52" s="30"/>
      <c r="O52" s="30"/>
    </row>
    <row r="53" spans="3:15" x14ac:dyDescent="0.35">
      <c r="C53" s="30"/>
      <c r="D53" s="30"/>
      <c r="E53" s="30"/>
      <c r="F53" s="30"/>
      <c r="G53" s="30"/>
      <c r="H53" s="30"/>
      <c r="I53" s="30"/>
      <c r="J53" s="30"/>
      <c r="K53" s="30"/>
      <c r="L53" s="30"/>
      <c r="M53" s="30"/>
      <c r="N53" s="30"/>
      <c r="O53" s="30"/>
    </row>
    <row r="54" spans="3:15" x14ac:dyDescent="0.35">
      <c r="C54" s="30"/>
      <c r="D54" s="30"/>
      <c r="E54" s="30"/>
      <c r="F54" s="30"/>
      <c r="G54" s="30"/>
      <c r="H54" s="30"/>
      <c r="I54" s="30"/>
      <c r="J54" s="30"/>
      <c r="K54" s="30"/>
      <c r="L54" s="30"/>
      <c r="M54" s="30"/>
      <c r="N54" s="30"/>
      <c r="O54" s="30"/>
    </row>
    <row r="55" spans="3:15" x14ac:dyDescent="0.35">
      <c r="C55" s="30"/>
      <c r="D55" s="30"/>
      <c r="E55" s="30"/>
      <c r="F55" s="30"/>
      <c r="G55" s="30"/>
      <c r="H55" s="30"/>
      <c r="I55" s="30"/>
      <c r="J55" s="30"/>
      <c r="K55" s="30"/>
      <c r="L55" s="30"/>
      <c r="M55" s="30"/>
      <c r="N55" s="30"/>
      <c r="O55" s="30"/>
    </row>
    <row r="56" spans="3:15" x14ac:dyDescent="0.35">
      <c r="C56" s="30"/>
      <c r="D56" s="30"/>
      <c r="E56" s="30"/>
      <c r="F56" s="30"/>
      <c r="G56" s="30"/>
      <c r="H56" s="30"/>
      <c r="I56" s="30"/>
      <c r="J56" s="30"/>
      <c r="K56" s="30"/>
      <c r="L56" s="30"/>
      <c r="M56" s="30"/>
      <c r="N56" s="30"/>
      <c r="O56" s="30"/>
    </row>
    <row r="57" spans="3:15" x14ac:dyDescent="0.35">
      <c r="C57" s="30"/>
      <c r="D57" s="30"/>
      <c r="E57" s="30"/>
      <c r="F57" s="30"/>
      <c r="G57" s="30"/>
      <c r="H57" s="30"/>
      <c r="I57" s="30"/>
      <c r="J57" s="30"/>
      <c r="K57" s="30"/>
      <c r="L57" s="30"/>
      <c r="M57" s="30"/>
      <c r="N57" s="30"/>
      <c r="O57" s="30"/>
    </row>
    <row r="58" spans="3:15" x14ac:dyDescent="0.35">
      <c r="C58" s="30"/>
      <c r="D58" s="30"/>
      <c r="E58" s="30"/>
      <c r="F58" s="30"/>
      <c r="G58" s="30"/>
      <c r="H58" s="30"/>
      <c r="I58" s="30"/>
      <c r="J58" s="30"/>
      <c r="K58" s="30"/>
      <c r="L58" s="30"/>
      <c r="M58" s="30"/>
      <c r="N58" s="30"/>
      <c r="O58" s="30"/>
    </row>
    <row r="59" spans="3:15" x14ac:dyDescent="0.35">
      <c r="C59" s="30"/>
      <c r="D59" s="30"/>
      <c r="E59" s="30"/>
      <c r="F59" s="30"/>
      <c r="G59" s="30"/>
      <c r="H59" s="30"/>
      <c r="I59" s="30"/>
      <c r="J59" s="30"/>
      <c r="K59" s="30"/>
      <c r="L59" s="30"/>
      <c r="M59" s="30"/>
      <c r="N59" s="30"/>
      <c r="O59" s="30"/>
    </row>
    <row r="60" spans="3:15" x14ac:dyDescent="0.35">
      <c r="C60" s="30"/>
      <c r="D60" s="30"/>
      <c r="E60" s="30"/>
      <c r="F60" s="30"/>
      <c r="G60" s="30"/>
      <c r="H60" s="30"/>
      <c r="I60" s="30"/>
      <c r="J60" s="30"/>
      <c r="K60" s="30"/>
      <c r="L60" s="30"/>
      <c r="M60" s="30"/>
      <c r="N60" s="30"/>
      <c r="O60" s="30"/>
    </row>
    <row r="61" spans="3:15" x14ac:dyDescent="0.35">
      <c r="C61" s="30"/>
      <c r="D61" s="30"/>
      <c r="E61" s="30"/>
      <c r="F61" s="30"/>
      <c r="G61" s="30"/>
      <c r="H61" s="30"/>
      <c r="I61" s="30"/>
      <c r="J61" s="30"/>
      <c r="K61" s="30"/>
      <c r="L61" s="30"/>
      <c r="M61" s="30"/>
      <c r="N61" s="30"/>
      <c r="O61" s="30"/>
    </row>
    <row r="62" spans="3:15" x14ac:dyDescent="0.35">
      <c r="C62" s="30"/>
      <c r="D62" s="30"/>
      <c r="E62" s="30"/>
      <c r="F62" s="30"/>
      <c r="G62" s="30"/>
      <c r="H62" s="30"/>
      <c r="I62" s="30"/>
      <c r="J62" s="30"/>
      <c r="K62" s="30"/>
      <c r="L62" s="30"/>
      <c r="M62" s="30"/>
      <c r="N62" s="30"/>
      <c r="O62" s="30"/>
    </row>
    <row r="63" spans="3:15" x14ac:dyDescent="0.35">
      <c r="C63" s="30"/>
      <c r="D63" s="30"/>
      <c r="E63" s="30"/>
      <c r="F63" s="30"/>
      <c r="G63" s="30"/>
      <c r="H63" s="30"/>
      <c r="I63" s="30"/>
      <c r="J63" s="30"/>
      <c r="K63" s="30"/>
      <c r="L63" s="30"/>
      <c r="M63" s="30"/>
      <c r="N63" s="30"/>
      <c r="O63" s="30"/>
    </row>
    <row r="64" spans="3:15" x14ac:dyDescent="0.35">
      <c r="C64" s="30"/>
      <c r="D64" s="30"/>
      <c r="E64" s="30"/>
      <c r="F64" s="30"/>
      <c r="G64" s="30"/>
      <c r="H64" s="30"/>
      <c r="I64" s="30"/>
      <c r="J64" s="30"/>
      <c r="K64" s="30"/>
      <c r="L64" s="30"/>
      <c r="M64" s="30"/>
      <c r="N64" s="30"/>
      <c r="O64" s="30"/>
    </row>
  </sheetData>
  <mergeCells count="13">
    <mergeCell ref="C21:D21"/>
    <mergeCell ref="S8:W9"/>
    <mergeCell ref="A1:W5"/>
    <mergeCell ref="C11:D11"/>
    <mergeCell ref="C6:F7"/>
    <mergeCell ref="C8:F9"/>
    <mergeCell ref="G6:I7"/>
    <mergeCell ref="G8:I9"/>
    <mergeCell ref="J6:M7"/>
    <mergeCell ref="N6:R7"/>
    <mergeCell ref="S6:W7"/>
    <mergeCell ref="J8:M9"/>
    <mergeCell ref="N8:R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Call Center Data</vt:lpstr>
      <vt:lpstr>Clean_Data</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Seemanto Saha</dc:creator>
  <cp:lastModifiedBy>Abdul Qadeer</cp:lastModifiedBy>
  <dcterms:created xsi:type="dcterms:W3CDTF">2024-02-19T11:52:50Z</dcterms:created>
  <dcterms:modified xsi:type="dcterms:W3CDTF">2026-10-08T12:31:47Z</dcterms:modified>
</cp:coreProperties>
</file>