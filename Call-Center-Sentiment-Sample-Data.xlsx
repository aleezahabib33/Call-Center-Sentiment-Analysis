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leez\OneDrive\Documents\Projects\"/>
    </mc:Choice>
  </mc:AlternateContent>
  <xr:revisionPtr revIDLastSave="14" documentId="113_{5B3B6B33-867D-4DC5-991D-EC9EBF21DA0A}" xr6:coauthVersionLast="36" xr6:coauthVersionMax="36" xr10:uidLastSave="{159AAF85-8BFD-4E77-97D9-D642E1CD3A57}"/>
  <bookViews>
    <workbookView xWindow="-110" yWindow="-110" windowWidth="23260" windowHeight="12460" activeTab="1" xr2:uid="{09ED46DE-924B-4F87-A435-105EA3E3F249}"/>
  </bookViews>
  <sheets>
    <sheet name="Call Center Data" sheetId="2" r:id="rId1"/>
    <sheet name="Clean_Data" sheetId="3" r:id="rId2"/>
    <sheet name="Analysis" sheetId="5" r:id="rId3"/>
    <sheet name="Visualization" sheetId="7" r:id="rId4"/>
    <sheet name="Dashboard" sheetId="6" r:id="rId5"/>
  </sheets>
  <definedNames>
    <definedName name="_xlnm._FilterDatabase" localSheetId="1" hidden="1">Clean_Data!$A$6:$N$6</definedName>
    <definedName name="Slicer_Call_Center">#N/A</definedName>
    <definedName name="Slicer_Channel">#N/A</definedName>
    <definedName name="Slicer_Reason">#N/A</definedName>
    <definedName name="Slicer_Sentiment_Group">#N/A</definedName>
    <definedName name="Slicer_SLA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8" i="3" l="1"/>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 i="3"/>
  <c r="O76"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8" i="3"/>
  <c r="M9" i="3"/>
  <c r="M10" i="3"/>
  <c r="M11" i="3"/>
  <c r="M12" i="3"/>
  <c r="M13" i="3"/>
  <c r="M14" i="3"/>
  <c r="M15" i="3"/>
  <c r="M16" i="3"/>
  <c r="M17" i="3"/>
  <c r="M18" i="3"/>
  <c r="M7" i="3"/>
  <c r="C8" i="6"/>
  <c r="G8" i="6"/>
  <c r="S8" i="6"/>
  <c r="J8" i="6"/>
  <c r="N8" i="6"/>
</calcChain>
</file>

<file path=xl/sharedStrings.xml><?xml version="1.0" encoding="utf-8"?>
<sst xmlns="http://schemas.openxmlformats.org/spreadsheetml/2006/main" count="1517" uniqueCount="308">
  <si>
    <t>Excel Sample Data</t>
  </si>
  <si>
    <t>Call Center Sentiment Analysis Data</t>
  </si>
  <si>
    <t>ID</t>
  </si>
  <si>
    <t>Customer Name</t>
  </si>
  <si>
    <t>Sentiment</t>
  </si>
  <si>
    <t>CSAT Score</t>
  </si>
  <si>
    <t>Call Timestamp</t>
  </si>
  <si>
    <t>Reason</t>
  </si>
  <si>
    <t>City</t>
  </si>
  <si>
    <t>State</t>
  </si>
  <si>
    <t>Channel</t>
  </si>
  <si>
    <t>Response Time</t>
  </si>
  <si>
    <t>Call Duration (Minutes)</t>
  </si>
  <si>
    <t>Call Center</t>
  </si>
  <si>
    <t>PIS-39858047</t>
  </si>
  <si>
    <t>Frances Gullefant</t>
  </si>
  <si>
    <t>Neutral</t>
  </si>
  <si>
    <t>Billing Question</t>
  </si>
  <si>
    <t>Charleston</t>
  </si>
  <si>
    <t>West Virginia</t>
  </si>
  <si>
    <t>Chatbot</t>
  </si>
  <si>
    <t>Within SLA</t>
  </si>
  <si>
    <t>Chicago/IL</t>
  </si>
  <si>
    <t>ROH-40287216</t>
  </si>
  <si>
    <t>Harcourt Zoanetti</t>
  </si>
  <si>
    <t>Negative</t>
  </si>
  <si>
    <t>Honolulu</t>
  </si>
  <si>
    <t>Hawaii</t>
  </si>
  <si>
    <t>Call-Center</t>
  </si>
  <si>
    <t>Los Angeles/CA</t>
  </si>
  <si>
    <t>NKC-39578431</t>
  </si>
  <si>
    <t>Washington Oxteby</t>
  </si>
  <si>
    <t>Dallas</t>
  </si>
  <si>
    <t>Texas</t>
  </si>
  <si>
    <t>Denver/CO</t>
  </si>
  <si>
    <t>APY-17008648</t>
  </si>
  <si>
    <t>Rafe Duffitt</t>
  </si>
  <si>
    <t>Very Negative</t>
  </si>
  <si>
    <t>Fort Myers</t>
  </si>
  <si>
    <t>Florida</t>
  </si>
  <si>
    <t>Email</t>
  </si>
  <si>
    <t>Below SLA</t>
  </si>
  <si>
    <t>MHK-38443501</t>
  </si>
  <si>
    <t>Tris Bent</t>
  </si>
  <si>
    <t>Positive</t>
  </si>
  <si>
    <t>Tuscaloosa</t>
  </si>
  <si>
    <t>Alabama</t>
  </si>
  <si>
    <t>Web</t>
  </si>
  <si>
    <t>QKL-49133006</t>
  </si>
  <si>
    <t>Kassie Elman</t>
  </si>
  <si>
    <t>South Carolina</t>
  </si>
  <si>
    <t>Baltimore/MD</t>
  </si>
  <si>
    <t>ZPZ-31710059</t>
  </si>
  <si>
    <t>Elbertina Hewins</t>
  </si>
  <si>
    <t>Very Positive</t>
  </si>
  <si>
    <t>Payments</t>
  </si>
  <si>
    <t>Pensacola</t>
  </si>
  <si>
    <t>IJF-13083880</t>
  </si>
  <si>
    <t>Garland Chuney</t>
  </si>
  <si>
    <t>Little Rock</t>
  </si>
  <si>
    <t>Arkansas</t>
  </si>
  <si>
    <t>ZKW-68562847</t>
  </si>
  <si>
    <t>Caroljean Bischop</t>
  </si>
  <si>
    <t>Nashville</t>
  </si>
  <si>
    <t>Tennessee</t>
  </si>
  <si>
    <t>NIL-47926257</t>
  </si>
  <si>
    <t>Delmor McKleod</t>
  </si>
  <si>
    <t>El Paso</t>
  </si>
  <si>
    <t>BPQ-80812775</t>
  </si>
  <si>
    <t>Julee O'Gavin</t>
  </si>
  <si>
    <t>Santa Ana</t>
  </si>
  <si>
    <t>California</t>
  </si>
  <si>
    <t>Above SLA</t>
  </si>
  <si>
    <t>ZOK-34480332</t>
  </si>
  <si>
    <t>Jaye Gribbon</t>
  </si>
  <si>
    <t>Huntington</t>
  </si>
  <si>
    <t>ZMB-79323804</t>
  </si>
  <si>
    <t>Brodie Dobrowski</t>
  </si>
  <si>
    <t>Pittsburgh</t>
  </si>
  <si>
    <t>Pennsylvania</t>
  </si>
  <si>
    <t>YYO-56445305</t>
  </si>
  <si>
    <t>Sibylla Kemet</t>
  </si>
  <si>
    <t>Tucson</t>
  </si>
  <si>
    <t>Arizona</t>
  </si>
  <si>
    <t>JYD-67455825</t>
  </si>
  <si>
    <t>Quintilla Hourston</t>
  </si>
  <si>
    <t>Des Moines</t>
  </si>
  <si>
    <t>Iowa</t>
  </si>
  <si>
    <t>KNO-93249512</t>
  </si>
  <si>
    <t>Maggi Simpson</t>
  </si>
  <si>
    <t>San Francisco</t>
  </si>
  <si>
    <t>VFG-63863025</t>
  </si>
  <si>
    <t>Early Andrassy</t>
  </si>
  <si>
    <t>Lansing</t>
  </si>
  <si>
    <t>Michigan</t>
  </si>
  <si>
    <t>UCT-41608771</t>
  </si>
  <si>
    <t>Ettie Ruoff</t>
  </si>
  <si>
    <t>Washington</t>
  </si>
  <si>
    <t>District of Columbia</t>
  </si>
  <si>
    <t>YLF-83918836</t>
  </si>
  <si>
    <t>Bogey McReath</t>
  </si>
  <si>
    <t>New York City</t>
  </si>
  <si>
    <t>New York</t>
  </si>
  <si>
    <t>QCH-83950486</t>
  </si>
  <si>
    <t>Sephira Philippart</t>
  </si>
  <si>
    <t>Madison</t>
  </si>
  <si>
    <t>Wisconsin</t>
  </si>
  <si>
    <t>PDB-14404239</t>
  </si>
  <si>
    <t>Charles Sandison</t>
  </si>
  <si>
    <t>Fort Pierce</t>
  </si>
  <si>
    <t>LFZ-17229282</t>
  </si>
  <si>
    <t>Zora Keelin</t>
  </si>
  <si>
    <t>Lubbock</t>
  </si>
  <si>
    <t>VKV-67119644</t>
  </si>
  <si>
    <t>Lillis Dewhurst</t>
  </si>
  <si>
    <t>Stockton</t>
  </si>
  <si>
    <t>PBY-32667898</t>
  </si>
  <si>
    <t>Luz Gudgeon</t>
  </si>
  <si>
    <t>Service Outage</t>
  </si>
  <si>
    <t>Corpus Christi</t>
  </si>
  <si>
    <t>EWI-18960031</t>
  </si>
  <si>
    <t>Abigale Morgan</t>
  </si>
  <si>
    <t>Minneapolis</t>
  </si>
  <si>
    <t>Minnesota</t>
  </si>
  <si>
    <t>IYX-48770048</t>
  </si>
  <si>
    <t>Minette Muzzillo</t>
  </si>
  <si>
    <t>Colorado Springs</t>
  </si>
  <si>
    <t>Colorado</t>
  </si>
  <si>
    <t>EVO-87671386</t>
  </si>
  <si>
    <t>Nanon FitzGilbert</t>
  </si>
  <si>
    <t>Abilene</t>
  </si>
  <si>
    <t>ZYX-10467563</t>
  </si>
  <si>
    <t>Ginelle Olver</t>
  </si>
  <si>
    <t>Fort Lauderdale</t>
  </si>
  <si>
    <t>DZU-03236134</t>
  </si>
  <si>
    <t>Tricia Kinnie</t>
  </si>
  <si>
    <t>Shawnee Mission</t>
  </si>
  <si>
    <t>Kansas</t>
  </si>
  <si>
    <t>CAZ-10660311</t>
  </si>
  <si>
    <t>Kristoforo Burnell</t>
  </si>
  <si>
    <t>Gainesville</t>
  </si>
  <si>
    <t>ESF-57588548</t>
  </si>
  <si>
    <t>Dulsea Pendry</t>
  </si>
  <si>
    <t>Erie</t>
  </si>
  <si>
    <t>WKS-55916097</t>
  </si>
  <si>
    <t>Alberik Jacques</t>
  </si>
  <si>
    <t>Houston</t>
  </si>
  <si>
    <t>OHX-59443580</t>
  </si>
  <si>
    <t>Banky Falla</t>
  </si>
  <si>
    <t>Saint Paul</t>
  </si>
  <si>
    <t>TLA-11600824</t>
  </si>
  <si>
    <t>Ganny Crampsy</t>
  </si>
  <si>
    <t>YPB-82095843</t>
  </si>
  <si>
    <t>Shari Adrienne</t>
  </si>
  <si>
    <t>Fort Worth</t>
  </si>
  <si>
    <t>LZU-62237096</t>
  </si>
  <si>
    <t>Charo Aisbett</t>
  </si>
  <si>
    <t>Salt Lake City</t>
  </si>
  <si>
    <t>Utah</t>
  </si>
  <si>
    <t>XCX-53374693</t>
  </si>
  <si>
    <t>Francyne Hagergham</t>
  </si>
  <si>
    <t>PJL-11752230</t>
  </si>
  <si>
    <t>Lindsay Bubb</t>
  </si>
  <si>
    <t>South Lake Tahoe</t>
  </si>
  <si>
    <t>MFC-52269149</t>
  </si>
  <si>
    <t>Roobbie Pickervance</t>
  </si>
  <si>
    <t>Montgomery</t>
  </si>
  <si>
    <t>TQC-88855863</t>
  </si>
  <si>
    <t>Erminia Lummasana</t>
  </si>
  <si>
    <t>Providence</t>
  </si>
  <si>
    <t>Rhode Island</t>
  </si>
  <si>
    <t>FGR-90006976</t>
  </si>
  <si>
    <t>Ariel Pittendreigh</t>
  </si>
  <si>
    <t>Richmond</t>
  </si>
  <si>
    <t>Virginia</t>
  </si>
  <si>
    <t>PAT-23706620</t>
  </si>
  <si>
    <t>Rudie Tomsen</t>
  </si>
  <si>
    <t>Johnstown</t>
  </si>
  <si>
    <t>XRX-56871498</t>
  </si>
  <si>
    <t>Alric Scrane</t>
  </si>
  <si>
    <t>BYM-24034403</t>
  </si>
  <si>
    <t>Eyde Djurevic</t>
  </si>
  <si>
    <t>Bronx</t>
  </si>
  <si>
    <t>TNK-37391425</t>
  </si>
  <si>
    <t>Hubey Wartonby</t>
  </si>
  <si>
    <t>Las Vegas</t>
  </si>
  <si>
    <t>Nevada</t>
  </si>
  <si>
    <t>JJM-32557838</t>
  </si>
  <si>
    <t>Cirstoforo Jemmett</t>
  </si>
  <si>
    <t>KWC-18652469</t>
  </si>
  <si>
    <t>Elijah Goalby</t>
  </si>
  <si>
    <t>Pasadena</t>
  </si>
  <si>
    <t>GCS-45015293</t>
  </si>
  <si>
    <t>Thaddus Seeley</t>
  </si>
  <si>
    <t>Sacramento</t>
  </si>
  <si>
    <t>IZX-08099835</t>
  </si>
  <si>
    <t>Brody Rebichon</t>
  </si>
  <si>
    <t>Chicago</t>
  </si>
  <si>
    <t>Illinois</t>
  </si>
  <si>
    <t>TPZ-92635583</t>
  </si>
  <si>
    <t>Eartha Boner</t>
  </si>
  <si>
    <t>Fort Wayne</t>
  </si>
  <si>
    <t>Indiana</t>
  </si>
  <si>
    <t>JOT-87331404</t>
  </si>
  <si>
    <t>Loralee Shivell</t>
  </si>
  <si>
    <t>Kansas City</t>
  </si>
  <si>
    <t>Missouri</t>
  </si>
  <si>
    <t>OKK-04567923</t>
  </si>
  <si>
    <t>Zacherie Tigner</t>
  </si>
  <si>
    <t>Long Beach</t>
  </si>
  <si>
    <t>TCX-30032546</t>
  </si>
  <si>
    <t>Madelena Pinnock</t>
  </si>
  <si>
    <t>HMX-04214019</t>
  </si>
  <si>
    <t>Mira Beddows</t>
  </si>
  <si>
    <t>Baton Rouge</t>
  </si>
  <si>
    <t>Louisiana</t>
  </si>
  <si>
    <t>SYU-34524338</t>
  </si>
  <si>
    <t>Giralda Gebby</t>
  </si>
  <si>
    <t>Naperville</t>
  </si>
  <si>
    <t>GBF-72465641</t>
  </si>
  <si>
    <t>Shelagh Washington</t>
  </si>
  <si>
    <t>FMF-68865737</t>
  </si>
  <si>
    <t>Janeczka Caze</t>
  </si>
  <si>
    <t>WMA-45712668</t>
  </si>
  <si>
    <t>Angie Francklin</t>
  </si>
  <si>
    <t>Evansville</t>
  </si>
  <si>
    <t>VEC-69408692</t>
  </si>
  <si>
    <t>Anna-maria McPeice</t>
  </si>
  <si>
    <t>Rockford</t>
  </si>
  <si>
    <t>MBN-58485152</t>
  </si>
  <si>
    <t>Jude Traise</t>
  </si>
  <si>
    <t>Harrisburg</t>
  </si>
  <si>
    <t>VBY-78584211</t>
  </si>
  <si>
    <t>Evangeline Dillingham</t>
  </si>
  <si>
    <t>Reno</t>
  </si>
  <si>
    <t>WSO-69134806</t>
  </si>
  <si>
    <t>Patti Gocher</t>
  </si>
  <si>
    <t>Bloomington</t>
  </si>
  <si>
    <t>MYP-30178430</t>
  </si>
  <si>
    <t>Cora Buggs</t>
  </si>
  <si>
    <t>Katy</t>
  </si>
  <si>
    <t>FRU-31409409</t>
  </si>
  <si>
    <t>Othella Kindle</t>
  </si>
  <si>
    <t>VMZ-59696572</t>
  </si>
  <si>
    <t>Sheppard Withull</t>
  </si>
  <si>
    <t>Concord</t>
  </si>
  <si>
    <t>JCE-87896568</t>
  </si>
  <si>
    <t>Llewellyn Pablos</t>
  </si>
  <si>
    <t>GZL-83273642</t>
  </si>
  <si>
    <t>Lurleen Swadden</t>
  </si>
  <si>
    <t>YHK-31842577</t>
  </si>
  <si>
    <t>Ardith Bunting</t>
  </si>
  <si>
    <t>Columbus</t>
  </si>
  <si>
    <t>Ohio</t>
  </si>
  <si>
    <t>BGA-81071725</t>
  </si>
  <si>
    <t>Wylie Gramer</t>
  </si>
  <si>
    <t>Georgia</t>
  </si>
  <si>
    <t>CRQ-64410572</t>
  </si>
  <si>
    <t>Bat Pond</t>
  </si>
  <si>
    <t>Month</t>
  </si>
  <si>
    <t>Sentiment Group</t>
  </si>
  <si>
    <t>CSAT Category</t>
  </si>
  <si>
    <t>Call Duration Category</t>
  </si>
  <si>
    <t>SLA Status</t>
  </si>
  <si>
    <t>Clean Sample Data</t>
  </si>
  <si>
    <t>Grand Total</t>
  </si>
  <si>
    <t>Calls</t>
  </si>
  <si>
    <t>Average CSAT</t>
  </si>
  <si>
    <t>Avg CSAT</t>
  </si>
  <si>
    <t>Avg Duration</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</si>
  <si>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</si>
  <si>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</si>
  <si>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</si>
  <si>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</si>
  <si>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</si>
  <si>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</si>
  <si>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</si>
  <si>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</si>
  <si>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</si>
  <si>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</si>
  <si>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</si>
  <si>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</si>
  <si>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</si>
  <si>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</si>
  <si>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</si>
  <si>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</si>
  <si>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</si>
  <si>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</si>
  <si>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</si>
  <si>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</si>
  <si>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</si>
  <si>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</si>
  <si>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</si>
  <si>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</si>
  <si>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</si>
  <si>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</si>
  <si>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</si>
  <si>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</si>
  <si>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</si>
  <si>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</si>
  <si>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</si>
  <si>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Call TimeStamp</t>
  </si>
  <si>
    <t>Total Calls</t>
  </si>
  <si>
    <t>Negative Sentiment</t>
  </si>
  <si>
    <t>WithinSLA</t>
  </si>
  <si>
    <t>Call Center Sentiment &amp; Customer Satisfaction Analysis</t>
  </si>
  <si>
    <t>Avg Call Duration</t>
  </si>
  <si>
    <t>Call Center Sentiment &amp; Customer Satisfication - 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</si>
</sst>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sz val="11"/>
      <color theme="1"/>
      <name val="Calibri"/>
      <family val="2"/>
      <scheme val="minor"/>
    </font>
    <font>
      <b/>
      <sz val="11"/>
      <color theme="1"/>
      <name val="Calibri"/>
      <family val="2"/>
    </font>
    <font>
      <b/>
      <sz val="12"/>
      <color theme="0"/>
      <name val="Calibri"/>
      <family val="2"/>
    </font>
    <font>
      <sz val="11"/>
      <color theme="0"/>
      <name val="Calibri"/>
      <family val="2"/>
    </font>
    <font>
      <sz val="11"/>
      <color theme="3"/>
      <name val="Calibri"/>
      <family val="2"/>
    </font>
    <font>
      <b/>
      <sz val="11"/>
      <color theme="3"/>
      <name val="Calibri"/>
      <family val="2"/>
    </font>
    <font>
      <b/>
      <sz val="14"/>
      <color theme="3"/>
      <name val="Calibri"/>
      <family val="2"/>
    </font>
    <font>
      <b/>
      <sz val="22"/>
      <color theme="0"/>
      <name val="Bookman Old Style"/>
      <family val="1"/>
    </font>
    <font>
      <b/>
      <sz val="18"/>
      <color theme="1"/>
      <name val="Calisto MT"/>
      <family val="1"/>
    </font>
    <font>
      <b/>
      <sz val="18"/>
      <color theme="1"/>
      <name val="Times New Roman"/>
      <family val="1"/>
    </font>
    <font>
      <b/>
      <sz val="18"/>
      <color theme="1"/>
      <name val="Book Antiqua"/>
      <family val="1"/>
    </font>
    <font>
      <b/>
      <sz val="16"/>
      <color theme="1"/>
      <name val="Book Antiqua"/>
      <family val="1"/>
    </font>
    <font>
      <b/>
      <sz val="20"/>
      <color theme="0"/>
      <name val="Calibri"/>
      <family val="2"/>
      <scheme val="minor"/>
    </font>
    <font>
      <b/>
      <sz val="20"/>
      <color theme="0"/>
      <name val="Bookman Old Style"/>
      <family val="1"/>
    </font>
  </fonts>
  <fills count="9">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3" tint="0.89999084444715716"/>
        <bgColor indexed="64"/>
      </patternFill>
    </fill>
    <fill>
      <patternFill patternType="solid">
        <fgColor theme="4"/>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4" tint="0.59999389629810485"/>
        <bgColor indexed="64"/>
      </patternFill>
    </fill>
  </fills>
  <borders count="37">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theme="2"/>
      </bottom>
      <diagonal/>
    </border>
    <border>
      <left style="thin">
        <color rgb="FFD9D9D9"/>
      </left>
      <right style="thin">
        <color rgb="FFD9D9D9"/>
      </right>
      <top/>
      <bottom style="thin">
        <color rgb="FFD9D9D9"/>
      </bottom>
      <diagonal/>
    </border>
    <border>
      <left style="thin">
        <color rgb="FFD9D9D9"/>
      </left>
      <right style="thin">
        <color theme="2"/>
      </right>
      <top style="thin">
        <color rgb="FFD9D9D9"/>
      </top>
      <bottom style="thin">
        <color rgb="FFD9D9D9"/>
      </bottom>
      <diagonal/>
    </border>
    <border>
      <left style="thin">
        <color theme="2"/>
      </left>
      <right style="thin">
        <color theme="2"/>
      </right>
      <top/>
      <bottom/>
      <diagonal/>
    </border>
    <border>
      <left/>
      <right style="thin">
        <color theme="2"/>
      </right>
      <top/>
      <bottom/>
      <diagonal/>
    </border>
    <border>
      <left/>
      <right/>
      <top style="medium">
        <color theme="4"/>
      </top>
      <bottom/>
      <diagonal/>
    </border>
    <border>
      <left/>
      <right/>
      <top/>
      <bottom style="medium">
        <color theme="4"/>
      </bottom>
      <diagonal/>
    </border>
    <border>
      <left style="medium">
        <color theme="1"/>
      </left>
      <right style="medium">
        <color theme="1"/>
      </right>
      <top/>
      <bottom style="medium">
        <color theme="1"/>
      </bottom>
      <diagonal/>
    </border>
    <border>
      <left style="medium">
        <color theme="1"/>
      </left>
      <right/>
      <top/>
      <bottom/>
      <diagonal/>
    </border>
    <border>
      <left/>
      <right/>
      <top style="medium">
        <color theme="6" tint="-0.499984740745262"/>
      </top>
      <bottom/>
      <diagonal/>
    </border>
    <border>
      <left/>
      <right style="medium">
        <color theme="1"/>
      </right>
      <top/>
      <bottom style="medium">
        <color theme="1"/>
      </bottom>
      <diagonal/>
    </border>
    <border>
      <left style="medium">
        <color theme="1"/>
      </left>
      <right/>
      <top/>
      <bottom style="medium">
        <color theme="1"/>
      </bottom>
      <diagonal/>
    </border>
    <border>
      <left style="medium">
        <color theme="1"/>
      </left>
      <right style="medium">
        <color theme="1"/>
      </right>
      <top style="medium">
        <color theme="1"/>
      </top>
      <bottom/>
      <diagonal/>
    </border>
    <border>
      <left/>
      <right style="medium">
        <color theme="1"/>
      </right>
      <top style="medium">
        <color theme="1"/>
      </top>
      <bottom/>
      <diagonal/>
    </border>
    <border>
      <left style="medium">
        <color theme="1"/>
      </left>
      <right/>
      <top style="medium">
        <color theme="1"/>
      </top>
      <bottom/>
      <diagonal/>
    </border>
    <border>
      <left/>
      <right/>
      <top style="thin">
        <color theme="8" tint="-0.249977111117893"/>
      </top>
      <bottom/>
      <diagonal/>
    </border>
    <border>
      <left style="thin">
        <color theme="8" tint="-0.249977111117893"/>
      </left>
      <right/>
      <top/>
      <bottom/>
      <diagonal/>
    </border>
    <border>
      <left/>
      <right style="thin">
        <color theme="8" tint="-0.249977111117893"/>
      </right>
      <top style="thin">
        <color theme="8" tint="-0.249977111117893"/>
      </top>
      <bottom/>
      <diagonal/>
    </border>
    <border>
      <left/>
      <right style="thin">
        <color theme="8" tint="-0.249977111117893"/>
      </right>
      <top/>
      <bottom/>
      <diagonal/>
    </border>
    <border>
      <left/>
      <right/>
      <top/>
      <bottom style="thin">
        <color theme="8" tint="-0.249977111117893"/>
      </bottom>
      <diagonal/>
    </border>
    <border>
      <left/>
      <right style="thin">
        <color theme="8" tint="-0.249977111117893"/>
      </right>
      <top/>
      <bottom style="thin">
        <color theme="8" tint="-0.249977111117893"/>
      </bottom>
      <diagonal/>
    </border>
    <border>
      <left style="medium">
        <color theme="1"/>
      </left>
      <right style="medium">
        <color theme="1"/>
      </right>
      <top style="medium">
        <color theme="1"/>
      </top>
      <bottom style="thin">
        <color theme="8" tint="-0.249977111117893"/>
      </bottom>
      <diagonal/>
    </border>
    <border>
      <left style="medium">
        <color theme="1"/>
      </left>
      <right style="medium">
        <color theme="1"/>
      </right>
      <top style="thin">
        <color theme="8" tint="-0.249977111117893"/>
      </top>
      <bottom style="medium">
        <color theme="1"/>
      </bottom>
      <diagonal/>
    </border>
    <border>
      <left style="medium">
        <color theme="1"/>
      </left>
      <right style="thin">
        <color theme="8" tint="-0.249977111117893"/>
      </right>
      <top style="thin">
        <color theme="8" tint="-0.249977111117893"/>
      </top>
      <bottom style="medium">
        <color theme="1"/>
      </bottom>
      <diagonal/>
    </border>
    <border>
      <left style="thin">
        <color theme="8" tint="-0.249977111117893"/>
      </left>
      <right style="medium">
        <color theme="1"/>
      </right>
      <top style="medium">
        <color theme="1"/>
      </top>
      <bottom style="thin">
        <color theme="8" tint="-0.249977111117893"/>
      </bottom>
      <diagonal/>
    </border>
    <border>
      <left style="thin">
        <color theme="8" tint="-0.249977111117893"/>
      </left>
      <right/>
      <top style="thin">
        <color theme="8" tint="-0.249977111117893"/>
      </top>
      <bottom/>
      <diagonal/>
    </border>
    <border>
      <left style="medium">
        <color theme="1"/>
      </left>
      <right style="thin">
        <color theme="8" tint="-0.249977111117893"/>
      </right>
      <top style="medium">
        <color theme="1"/>
      </top>
      <bottom style="thin">
        <color theme="8" tint="-0.249977111117893"/>
      </bottom>
      <diagonal/>
    </border>
    <border>
      <left/>
      <right style="medium">
        <color theme="1"/>
      </right>
      <top style="thin">
        <color theme="8" tint="-0.249977111117893"/>
      </top>
      <bottom style="medium">
        <color theme="1"/>
      </bottom>
      <diagonal/>
    </border>
    <border>
      <left style="thin">
        <color theme="8" tint="-0.249977111117893"/>
      </left>
      <right style="medium">
        <color theme="1"/>
      </right>
      <top style="thin">
        <color theme="8" tint="-0.249977111117893"/>
      </top>
      <bottom style="medium">
        <color theme="1"/>
      </bottom>
      <diagonal/>
    </border>
    <border>
      <left style="medium">
        <color theme="1"/>
      </left>
      <right style="thin">
        <color theme="8" tint="-0.249977111117893"/>
      </right>
      <top style="medium">
        <color theme="1"/>
      </top>
      <bottom/>
      <diagonal/>
    </border>
    <border>
      <left style="thin">
        <color theme="8" tint="-0.249977111117893"/>
      </left>
      <right style="medium">
        <color theme="1"/>
      </right>
      <top style="thin">
        <color theme="4" tint="0.59999389629810485"/>
      </top>
      <bottom style="medium">
        <color theme="1"/>
      </bottom>
      <diagonal/>
    </border>
    <border>
      <left style="medium">
        <color theme="1"/>
      </left>
      <right style="medium">
        <color theme="1"/>
      </right>
      <top style="thin">
        <color theme="4" tint="0.59999389629810485"/>
      </top>
      <bottom style="medium">
        <color theme="1"/>
      </bottom>
      <diagonal/>
    </border>
    <border>
      <left style="medium">
        <color theme="1"/>
      </left>
      <right style="thin">
        <color theme="8" tint="-0.249977111117893"/>
      </right>
      <top style="thin">
        <color theme="4" tint="0.59999389629810485"/>
      </top>
      <bottom style="medium">
        <color theme="1"/>
      </bottom>
      <diagonal/>
    </border>
    <border>
      <left style="thin">
        <color theme="8" tint="-0.249977111117893"/>
      </left>
      <right style="medium">
        <color theme="1"/>
      </right>
      <top style="medium">
        <color theme="1"/>
      </top>
      <bottom/>
      <diagonal/>
    </border>
  </borders>
  <cellStyleXfs count="2">
    <xf numFmtId="0" fontId="0" fillId="0" borderId="0"/>
    <xf numFmtId="9" fontId="6" fillId="0" borderId="0" applyFont="0" applyFill="0" applyBorder="0" applyAlignment="0" applyProtection="0"/>
  </cellStyleXfs>
  <cellXfs count="116">
    <xf numFmtId="0" fontId="0" fillId="0" borderId="0" xfId="0"/>
    <xf numFmtId="0" fontId="1" fillId="2" borderId="1" xfId="0" applyFont="1" applyFill="1" applyBorder="1" applyAlignment="1">
      <alignment horizontal="centerContinuous" vertical="center"/>
    </xf>
    <xf numFmtId="0" fontId="2" fillId="0" borderId="0" xfId="0" applyFont="1"/>
    <xf numFmtId="0" fontId="3" fillId="2" borderId="1" xfId="0" applyFont="1" applyFill="1" applyBorder="1" applyAlignment="1">
      <alignment horizontal="centerContinuous" vertical="center"/>
    </xf>
    <xf numFmtId="0" fontId="4" fillId="3" borderId="2" xfId="0" applyFont="1" applyFill="1" applyBorder="1" applyAlignment="1">
      <alignment horizontal="center" vertical="center" wrapText="1"/>
    </xf>
    <xf numFmtId="0" fontId="5" fillId="0" borderId="2" xfId="0" applyFont="1" applyBorder="1" applyAlignment="1">
      <alignment vertical="center"/>
    </xf>
    <xf numFmtId="14" fontId="5" fillId="0" borderId="2" xfId="0" applyNumberFormat="1" applyFont="1" applyBorder="1" applyAlignment="1">
      <alignment vertical="center"/>
    </xf>
    <xf numFmtId="14" fontId="2" fillId="0" borderId="0" xfId="0" applyNumberFormat="1" applyFont="1"/>
    <xf numFmtId="0" fontId="2" fillId="0" borderId="0" xfId="0" applyFont="1" applyFill="1"/>
    <xf numFmtId="0" fontId="8" fillId="5" borderId="2" xfId="0" applyFont="1" applyFill="1" applyBorder="1" applyAlignment="1">
      <alignment horizontal="center" vertical="center" wrapText="1"/>
    </xf>
    <xf numFmtId="0" fontId="9" fillId="0" borderId="0" xfId="0" applyFont="1" applyFill="1"/>
    <xf numFmtId="0" fontId="5" fillId="0" borderId="4" xfId="0" applyFont="1" applyBorder="1" applyAlignment="1">
      <alignment vertical="center"/>
    </xf>
    <xf numFmtId="0" fontId="5" fillId="0" borderId="3" xfId="0" applyFont="1" applyBorder="1" applyAlignment="1">
      <alignment vertical="center"/>
    </xf>
    <xf numFmtId="0" fontId="8" fillId="5" borderId="5" xfId="0" applyFont="1" applyFill="1" applyBorder="1" applyAlignment="1">
      <alignment horizontal="center" vertical="center" wrapText="1"/>
    </xf>
    <xf numFmtId="0" fontId="2" fillId="0" borderId="8" xfId="0" applyFont="1" applyFill="1" applyBorder="1"/>
    <xf numFmtId="0" fontId="10" fillId="4" borderId="9" xfId="0" applyFont="1" applyFill="1" applyBorder="1" applyAlignment="1">
      <alignment vertical="center"/>
    </xf>
    <xf numFmtId="0" fontId="10" fillId="4" borderId="0" xfId="0" applyFont="1" applyFill="1" applyBorder="1" applyAlignment="1">
      <alignment vertical="center"/>
    </xf>
    <xf numFmtId="0" fontId="10" fillId="4" borderId="7" xfId="0" applyFont="1" applyFill="1" applyBorder="1" applyAlignment="1">
      <alignment vertical="center"/>
    </xf>
    <xf numFmtId="0" fontId="2" fillId="4" borderId="9" xfId="0" applyFont="1" applyFill="1" applyBorder="1"/>
    <xf numFmtId="0" fontId="7" fillId="4" borderId="9" xfId="0" applyFont="1" applyFill="1" applyBorder="1"/>
    <xf numFmtId="0" fontId="8" fillId="5" borderId="6" xfId="0" applyFont="1" applyFill="1" applyBorder="1" applyAlignment="1">
      <alignment horizontal="center" vertical="center"/>
    </xf>
    <xf numFmtId="0" fontId="8" fillId="5" borderId="0"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applyAlignment="1"/>
    <xf numFmtId="14" fontId="0" fillId="0" borderId="0" xfId="0" applyNumberFormat="1" applyAlignment="1">
      <alignment horizontal="left"/>
    </xf>
    <xf numFmtId="164" fontId="0" fillId="0" borderId="0" xfId="0" pivotButton="1" applyNumberFormat="1"/>
    <xf numFmtId="9" fontId="0" fillId="0" borderId="0" xfId="0" applyNumberFormat="1"/>
    <xf numFmtId="0" fontId="0" fillId="6" borderId="0" xfId="0" applyFill="1"/>
    <xf numFmtId="0" fontId="0" fillId="6" borderId="0" xfId="0" applyFill="1" applyBorder="1"/>
    <xf numFmtId="0" fontId="16" fillId="6" borderId="0" xfId="0" applyFont="1" applyFill="1" applyBorder="1" applyAlignment="1">
      <alignment horizontal="left" vertical="center" indent="21"/>
    </xf>
    <xf numFmtId="2" fontId="15" fillId="6" borderId="0" xfId="0" applyNumberFormat="1" applyFont="1" applyFill="1" applyBorder="1" applyAlignment="1">
      <alignment horizontal="left" vertical="center" indent="16"/>
    </xf>
    <xf numFmtId="165" fontId="15" fillId="6" borderId="0" xfId="1" applyNumberFormat="1" applyFont="1" applyFill="1" applyBorder="1" applyAlignment="1">
      <alignment horizontal="left" vertical="center" indent="18"/>
    </xf>
    <xf numFmtId="165" fontId="16" fillId="6" borderId="0" xfId="1" applyNumberFormat="1" applyFont="1" applyFill="1" applyBorder="1" applyAlignment="1">
      <alignment horizontal="left" vertical="center" indent="18"/>
    </xf>
    <xf numFmtId="164" fontId="16" fillId="6" borderId="0" xfId="0" applyNumberFormat="1" applyFont="1" applyFill="1" applyBorder="1" applyAlignment="1">
      <alignment horizontal="left" vertical="center" indent="19"/>
    </xf>
    <xf numFmtId="0" fontId="0" fillId="6" borderId="0" xfId="0" applyFill="1" applyAlignment="1">
      <alignment wrapText="1"/>
    </xf>
    <xf numFmtId="0" fontId="14" fillId="6" borderId="0" xfId="0" applyFont="1" applyFill="1" applyBorder="1" applyAlignment="1">
      <alignment vertical="center"/>
    </xf>
    <xf numFmtId="0" fontId="15" fillId="6" borderId="0" xfId="0" applyFont="1" applyFill="1" applyBorder="1" applyAlignment="1">
      <alignment vertical="center"/>
    </xf>
    <xf numFmtId="2" fontId="15" fillId="6" borderId="0" xfId="0" applyNumberFormat="1" applyFont="1" applyFill="1" applyBorder="1" applyAlignment="1">
      <alignment vertical="center"/>
    </xf>
    <xf numFmtId="165" fontId="15" fillId="6" borderId="0" xfId="1" applyNumberFormat="1" applyFont="1" applyFill="1" applyBorder="1" applyAlignment="1">
      <alignment vertical="center"/>
    </xf>
    <xf numFmtId="10" fontId="15" fillId="6" borderId="0" xfId="1" applyNumberFormat="1" applyFont="1" applyFill="1" applyBorder="1" applyAlignment="1">
      <alignment vertical="center"/>
    </xf>
    <xf numFmtId="164" fontId="15" fillId="6" borderId="0" xfId="0" applyNumberFormat="1" applyFont="1" applyFill="1" applyBorder="1" applyAlignment="1">
      <alignment vertical="center"/>
    </xf>
    <xf numFmtId="0" fontId="0" fillId="0" borderId="0" xfId="0" applyBorder="1"/>
    <xf numFmtId="0" fontId="12" fillId="4" borderId="0" xfId="0" applyFont="1" applyFill="1" applyBorder="1" applyAlignment="1">
      <alignment horizontal="center" vertical="center"/>
    </xf>
    <xf numFmtId="0" fontId="11" fillId="4" borderId="0" xfId="0" applyFont="1" applyFill="1" applyBorder="1" applyAlignment="1">
      <alignment horizontal="center" vertical="center"/>
    </xf>
    <xf numFmtId="0" fontId="12" fillId="4" borderId="9" xfId="0" applyFont="1" applyFill="1" applyBorder="1" applyAlignment="1">
      <alignment horizontal="center"/>
    </xf>
    <xf numFmtId="0" fontId="10" fillId="4" borderId="9" xfId="0" applyFont="1" applyFill="1" applyBorder="1" applyAlignment="1">
      <alignment horizontal="center"/>
    </xf>
    <xf numFmtId="0" fontId="0" fillId="6" borderId="0" xfId="0" applyFill="1" applyAlignment="1">
      <alignment horizontal="center"/>
    </xf>
    <xf numFmtId="0" fontId="0" fillId="0" borderId="19" xfId="0" applyBorder="1"/>
    <xf numFmtId="0" fontId="13" fillId="7" borderId="12" xfId="0" applyFont="1" applyFill="1" applyBorder="1" applyAlignment="1">
      <alignment horizontal="center" vertical="center"/>
    </xf>
    <xf numFmtId="0" fontId="13" fillId="7" borderId="0" xfId="0" applyFont="1" applyFill="1" applyBorder="1" applyAlignment="1">
      <alignment horizontal="center" vertical="center"/>
    </xf>
    <xf numFmtId="0" fontId="13" fillId="7" borderId="22" xfId="0" applyFont="1" applyFill="1" applyBorder="1" applyAlignment="1">
      <alignment horizontal="center" vertical="center"/>
    </xf>
    <xf numFmtId="0" fontId="17" fillId="8" borderId="28" xfId="0" applyFont="1" applyFill="1" applyBorder="1" applyAlignment="1">
      <alignment horizontal="center" vertical="center"/>
    </xf>
    <xf numFmtId="0" fontId="17" fillId="8" borderId="18" xfId="0" applyFont="1" applyFill="1" applyBorder="1" applyAlignment="1">
      <alignment horizontal="center" vertical="center"/>
    </xf>
    <xf numFmtId="0" fontId="17" fillId="8" borderId="20" xfId="0" applyFont="1" applyFill="1" applyBorder="1" applyAlignment="1">
      <alignment horizontal="center" vertical="center"/>
    </xf>
    <xf numFmtId="0" fontId="17" fillId="8" borderId="19" xfId="0" applyFont="1" applyFill="1" applyBorder="1" applyAlignment="1">
      <alignment horizontal="center" vertical="center"/>
    </xf>
    <xf numFmtId="0" fontId="17" fillId="8" borderId="0" xfId="0" applyFont="1" applyFill="1" applyBorder="1" applyAlignment="1">
      <alignment horizontal="center" vertical="center"/>
    </xf>
    <xf numFmtId="0" fontId="17" fillId="8" borderId="21" xfId="0" applyFont="1" applyFill="1" applyBorder="1" applyAlignment="1">
      <alignment horizontal="center" vertical="center"/>
    </xf>
    <xf numFmtId="164" fontId="16" fillId="8" borderId="0" xfId="0" applyNumberFormat="1" applyFont="1" applyFill="1" applyBorder="1" applyAlignment="1">
      <alignment horizontal="center" vertical="center"/>
    </xf>
    <xf numFmtId="164" fontId="16" fillId="8" borderId="21" xfId="0" applyNumberFormat="1" applyFont="1" applyFill="1" applyBorder="1" applyAlignment="1">
      <alignment horizontal="center" vertical="center"/>
    </xf>
    <xf numFmtId="164" fontId="16" fillId="8" borderId="22" xfId="0" applyNumberFormat="1" applyFont="1" applyFill="1" applyBorder="1" applyAlignment="1">
      <alignment horizontal="center" vertical="center"/>
    </xf>
    <xf numFmtId="164" fontId="16" fillId="8" borderId="23" xfId="0" applyNumberFormat="1" applyFont="1" applyFill="1" applyBorder="1" applyAlignment="1">
      <alignment horizontal="center" vertical="center"/>
    </xf>
    <xf numFmtId="0" fontId="17" fillId="8" borderId="13" xfId="0" applyFont="1" applyFill="1" applyBorder="1" applyAlignment="1">
      <alignment horizontal="left" vertical="center" indent="12"/>
    </xf>
    <xf numFmtId="0" fontId="17" fillId="8" borderId="10" xfId="0" applyFont="1" applyFill="1" applyBorder="1" applyAlignment="1">
      <alignment horizontal="left" vertical="center" indent="12"/>
    </xf>
    <xf numFmtId="0" fontId="17" fillId="8" borderId="14" xfId="0" applyFont="1" applyFill="1" applyBorder="1" applyAlignment="1">
      <alignment horizontal="left" vertical="center" indent="12"/>
    </xf>
    <xf numFmtId="0" fontId="17" fillId="8" borderId="16" xfId="0" applyFont="1" applyFill="1" applyBorder="1" applyAlignment="1">
      <alignment horizontal="left" vertical="center" indent="12"/>
    </xf>
    <xf numFmtId="0" fontId="17" fillId="8" borderId="15" xfId="0" applyFont="1" applyFill="1" applyBorder="1" applyAlignment="1">
      <alignment horizontal="left" vertical="center" indent="12"/>
    </xf>
    <xf numFmtId="0" fontId="17" fillId="8" borderId="17" xfId="0" applyFont="1" applyFill="1" applyBorder="1" applyAlignment="1">
      <alignment horizontal="left" vertical="center" indent="12"/>
    </xf>
    <xf numFmtId="10" fontId="16" fillId="8" borderId="27" xfId="1" applyNumberFormat="1" applyFont="1" applyFill="1" applyBorder="1" applyAlignment="1">
      <alignment horizontal="left" vertical="center" indent="12"/>
    </xf>
    <xf numFmtId="10" fontId="16" fillId="8" borderId="24" xfId="1" applyNumberFormat="1" applyFont="1" applyFill="1" applyBorder="1" applyAlignment="1">
      <alignment horizontal="left" vertical="center" indent="12"/>
    </xf>
    <xf numFmtId="10" fontId="16" fillId="8" borderId="29" xfId="1" applyNumberFormat="1" applyFont="1" applyFill="1" applyBorder="1" applyAlignment="1">
      <alignment horizontal="left" vertical="center" indent="12"/>
    </xf>
    <xf numFmtId="0" fontId="17" fillId="8" borderId="30" xfId="0" applyFont="1" applyFill="1" applyBorder="1" applyAlignment="1">
      <alignment horizontal="left" vertical="center" indent="5"/>
    </xf>
    <xf numFmtId="0" fontId="17" fillId="8" borderId="25" xfId="0" applyFont="1" applyFill="1" applyBorder="1" applyAlignment="1">
      <alignment horizontal="left" vertical="center" indent="5"/>
    </xf>
    <xf numFmtId="0" fontId="17" fillId="8" borderId="26" xfId="0" applyFont="1" applyFill="1" applyBorder="1" applyAlignment="1">
      <alignment horizontal="left" vertical="center" indent="5"/>
    </xf>
    <xf numFmtId="165" fontId="15" fillId="8" borderId="27" xfId="1" applyNumberFormat="1" applyFont="1" applyFill="1" applyBorder="1" applyAlignment="1">
      <alignment horizontal="left" vertical="center" indent="15"/>
    </xf>
    <xf numFmtId="165" fontId="15" fillId="8" borderId="24" xfId="1" applyNumberFormat="1" applyFont="1" applyFill="1" applyBorder="1" applyAlignment="1">
      <alignment horizontal="left" vertical="center" indent="15"/>
    </xf>
    <xf numFmtId="165" fontId="15" fillId="8" borderId="29" xfId="1" applyNumberFormat="1" applyFont="1" applyFill="1" applyBorder="1" applyAlignment="1">
      <alignment horizontal="left" vertical="center" indent="15"/>
    </xf>
    <xf numFmtId="0" fontId="17" fillId="8" borderId="30" xfId="0" applyFont="1" applyFill="1" applyBorder="1" applyAlignment="1">
      <alignment horizontal="left" vertical="center" indent="9"/>
    </xf>
    <xf numFmtId="0" fontId="17" fillId="8" borderId="25" xfId="0" applyFont="1" applyFill="1" applyBorder="1" applyAlignment="1">
      <alignment horizontal="left" vertical="center" indent="9"/>
    </xf>
    <xf numFmtId="0" fontId="17" fillId="8" borderId="26" xfId="0" applyFont="1" applyFill="1" applyBorder="1" applyAlignment="1">
      <alignment horizontal="left" vertical="center" indent="9"/>
    </xf>
    <xf numFmtId="2" fontId="15" fillId="8" borderId="27" xfId="0" applyNumberFormat="1" applyFont="1" applyFill="1" applyBorder="1" applyAlignment="1">
      <alignment horizontal="left" vertical="center" indent="13"/>
    </xf>
    <xf numFmtId="2" fontId="15" fillId="8" borderId="24" xfId="0" applyNumberFormat="1" applyFont="1" applyFill="1" applyBorder="1" applyAlignment="1">
      <alignment horizontal="left" vertical="center" indent="13"/>
    </xf>
    <xf numFmtId="2" fontId="15" fillId="8" borderId="29" xfId="0" applyNumberFormat="1" applyFont="1" applyFill="1" applyBorder="1" applyAlignment="1">
      <alignment horizontal="left" vertical="center" indent="13"/>
    </xf>
    <xf numFmtId="0" fontId="17" fillId="8" borderId="31" xfId="0" applyFont="1" applyFill="1" applyBorder="1" applyAlignment="1">
      <alignment horizontal="left" vertical="center" indent="12"/>
    </xf>
    <xf numFmtId="0" fontId="17" fillId="8" borderId="25" xfId="0" applyFont="1" applyFill="1" applyBorder="1" applyAlignment="1">
      <alignment horizontal="left" vertical="center" indent="12"/>
    </xf>
    <xf numFmtId="0" fontId="17" fillId="8" borderId="26" xfId="0" applyFont="1" applyFill="1" applyBorder="1" applyAlignment="1">
      <alignment horizontal="left" vertical="center" indent="12"/>
    </xf>
    <xf numFmtId="0" fontId="16" fillId="8" borderId="27" xfId="0" applyFont="1" applyFill="1" applyBorder="1" applyAlignment="1">
      <alignment horizontal="left" vertical="center" indent="19"/>
    </xf>
    <xf numFmtId="0" fontId="16" fillId="8" borderId="24" xfId="0" applyFont="1" applyFill="1" applyBorder="1" applyAlignment="1">
      <alignment horizontal="left" vertical="center" indent="19"/>
    </xf>
    <xf numFmtId="0" fontId="16" fillId="8" borderId="29" xfId="0" applyFont="1" applyFill="1" applyBorder="1" applyAlignment="1">
      <alignment horizontal="left" vertical="center" indent="19"/>
    </xf>
    <xf numFmtId="10" fontId="16" fillId="8" borderId="33" xfId="1" applyNumberFormat="1" applyFont="1" applyFill="1" applyBorder="1" applyAlignment="1">
      <alignment horizontal="left" vertical="center" indent="12"/>
    </xf>
    <xf numFmtId="10" fontId="16" fillId="8" borderId="34" xfId="1" applyNumberFormat="1" applyFont="1" applyFill="1" applyBorder="1" applyAlignment="1">
      <alignment horizontal="left" vertical="center" indent="12"/>
    </xf>
    <xf numFmtId="10" fontId="16" fillId="8" borderId="35" xfId="1" applyNumberFormat="1" applyFont="1" applyFill="1" applyBorder="1" applyAlignment="1">
      <alignment horizontal="left" vertical="center" indent="12"/>
    </xf>
    <xf numFmtId="0" fontId="17" fillId="8" borderId="16" xfId="0" applyFont="1" applyFill="1" applyBorder="1" applyAlignment="1">
      <alignment horizontal="left" vertical="center" indent="5"/>
    </xf>
    <xf numFmtId="0" fontId="17" fillId="8" borderId="15" xfId="0" applyFont="1" applyFill="1" applyBorder="1" applyAlignment="1">
      <alignment horizontal="left" vertical="center" indent="5"/>
    </xf>
    <xf numFmtId="0" fontId="17" fillId="8" borderId="32" xfId="0" applyFont="1" applyFill="1" applyBorder="1" applyAlignment="1">
      <alignment horizontal="left" vertical="center" indent="5"/>
    </xf>
    <xf numFmtId="165" fontId="15" fillId="8" borderId="33" xfId="1" applyNumberFormat="1" applyFont="1" applyFill="1" applyBorder="1" applyAlignment="1">
      <alignment horizontal="left" vertical="center" indent="15"/>
    </xf>
    <xf numFmtId="165" fontId="15" fillId="8" borderId="34" xfId="1" applyNumberFormat="1" applyFont="1" applyFill="1" applyBorder="1" applyAlignment="1">
      <alignment horizontal="left" vertical="center" indent="15"/>
    </xf>
    <xf numFmtId="165" fontId="15" fillId="8" borderId="35" xfId="1" applyNumberFormat="1" applyFont="1" applyFill="1" applyBorder="1" applyAlignment="1">
      <alignment horizontal="left" vertical="center" indent="15"/>
    </xf>
    <xf numFmtId="0" fontId="17" fillId="8" borderId="16" xfId="0" applyFont="1" applyFill="1" applyBorder="1" applyAlignment="1">
      <alignment horizontal="left" vertical="center" indent="9"/>
    </xf>
    <xf numFmtId="0" fontId="17" fillId="8" borderId="15" xfId="0" applyFont="1" applyFill="1" applyBorder="1" applyAlignment="1">
      <alignment horizontal="left" vertical="center" indent="9"/>
    </xf>
    <xf numFmtId="0" fontId="17" fillId="8" borderId="32" xfId="0" applyFont="1" applyFill="1" applyBorder="1" applyAlignment="1">
      <alignment horizontal="left" vertical="center" indent="9"/>
    </xf>
    <xf numFmtId="2" fontId="15" fillId="8" borderId="33" xfId="0" applyNumberFormat="1" applyFont="1" applyFill="1" applyBorder="1" applyAlignment="1">
      <alignment horizontal="left" vertical="center" indent="13"/>
    </xf>
    <xf numFmtId="2" fontId="15" fillId="8" borderId="34" xfId="0" applyNumberFormat="1" applyFont="1" applyFill="1" applyBorder="1" applyAlignment="1">
      <alignment horizontal="left" vertical="center" indent="13"/>
    </xf>
    <xf numFmtId="2" fontId="15" fillId="8" borderId="35" xfId="0" applyNumberFormat="1" applyFont="1" applyFill="1" applyBorder="1" applyAlignment="1">
      <alignment horizontal="left" vertical="center" indent="13"/>
    </xf>
    <xf numFmtId="0" fontId="17" fillId="8" borderId="36" xfId="0" applyFont="1" applyFill="1" applyBorder="1" applyAlignment="1">
      <alignment horizontal="left" vertical="center" indent="12"/>
    </xf>
    <xf numFmtId="0" fontId="17" fillId="8" borderId="32" xfId="0" applyFont="1" applyFill="1" applyBorder="1" applyAlignment="1">
      <alignment horizontal="left" vertical="center" indent="12"/>
    </xf>
    <xf numFmtId="0" fontId="16" fillId="8" borderId="33" xfId="0" applyFont="1" applyFill="1" applyBorder="1" applyAlignment="1">
      <alignment horizontal="left" vertical="center" indent="19"/>
    </xf>
    <xf numFmtId="0" fontId="16" fillId="8" borderId="34" xfId="0" applyFont="1" applyFill="1" applyBorder="1" applyAlignment="1">
      <alignment horizontal="left" vertical="center" indent="19"/>
    </xf>
    <xf numFmtId="0" fontId="16" fillId="8" borderId="35" xfId="0" applyFont="1" applyFill="1" applyBorder="1" applyAlignment="1">
      <alignment horizontal="left" vertical="center" indent="19"/>
    </xf>
    <xf numFmtId="0" fontId="19" fillId="7" borderId="0" xfId="0" applyFont="1" applyFill="1" applyAlignment="1">
      <alignment horizontal="center" vertical="center"/>
    </xf>
    <xf numFmtId="0" fontId="18" fillId="7" borderId="11" xfId="0" applyFont="1" applyFill="1" applyBorder="1" applyAlignment="1">
      <alignment horizontal="center" vertical="center"/>
    </xf>
    <xf numFmtId="0" fontId="18" fillId="7" borderId="0" xfId="0" applyFont="1" applyFill="1" applyBorder="1" applyAlignment="1">
      <alignment horizontal="center" vertical="center"/>
    </xf>
  </cellXfs>
  <cellStyles count="2">
    <cellStyle name="Normal" xfId="0" builtinId="0"/>
    <cellStyle name="Percent" xfId="1" builtinId="5"/>
  </cellStyles>
  <dxfs count="26">
    <dxf>
      <numFmt numFmtId="0" formatCode="General"/>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64" formatCode="0.0"/>
    </dxf>
    <dxf>
      <numFmt numFmtId="2" formatCode="0.00"/>
    </dxf>
    <dxf>
      <numFmt numFmtId="164" formatCode="0.0"/>
    </dxf>
    <dxf>
      <numFmt numFmtId="1" formatCode="0"/>
    </dxf>
    <dxf>
      <numFmt numFmtId="2" formatCode="0.00"/>
    </dxf>
    <dxf>
      <numFmt numFmtId="13" formatCode="0%"/>
    </dxf>
    <dxf>
      <numFmt numFmtId="1" formatCode="0"/>
    </dxf>
    <dxf>
      <numFmt numFmtId="164" formatCode="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s>
  <tableStyles count="0" defaultTableStyle="TableStyleMedium2" defaultPivotStyle="PivotStyleLight16"/>
  <colors>
    <mruColors>
      <color rgb="FFB889DB"/>
      <color rgb="FFEE1EC6"/>
      <color rgb="FFFBC9F1"/>
      <color rgb="FFFCC6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[Call-Center-Sentiment-Sample-Data.xlsx]Analysis!Sentiment Group</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Sentiment Group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pivotFmt>
      <c:pivotFmt>
        <c:idx val="3"/>
      </c:pivotFmt>
      <c:pivotFmt>
        <c:idx val="4"/>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pivotFmt>
      <c:pivotFmt>
        <c:idx val="1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outerShdw blurRad="254000" sx="102000" sy="102000" algn="ctr" rotWithShape="0">
              <a:prstClr val="black">
                <a:alpha val="20000"/>
              </a:prstClr>
            </a:outerShdw>
          </a:effectLst>
        </c:spPr>
      </c:pivotFmt>
      <c:pivotFmt>
        <c:idx val="15"/>
        <c:spPr>
          <a:solidFill>
            <a:schemeClr val="accent6"/>
          </a:solidFill>
          <a:ln>
            <a:noFill/>
          </a:ln>
          <a:effectLst>
            <a:outerShdw blurRad="254000" sx="102000" sy="102000" algn="ctr" rotWithShape="0">
              <a:prstClr val="black">
                <a:alpha val="20000"/>
              </a:prstClr>
            </a:outerShdw>
          </a:effectLst>
        </c:spPr>
      </c:pivotFmt>
      <c:pivotFmt>
        <c:idx val="16"/>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Analysis!$B$6</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B90-47CD-93FB-D253DD707BA4}"/>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B90-47CD-93FB-D253DD707BA4}"/>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B90-47CD-93FB-D253DD707B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Analysis!$A$7:$A$10</c:f>
              <c:strCache>
                <c:ptCount val="3"/>
                <c:pt idx="0">
                  <c:v>Negative</c:v>
                </c:pt>
                <c:pt idx="1">
                  <c:v>Neutral</c:v>
                </c:pt>
                <c:pt idx="2">
                  <c:v>Positive</c:v>
                </c:pt>
              </c:strCache>
            </c:strRef>
          </c:cat>
          <c:val>
            <c:numRef>
              <c:f>Analysis!$B$7:$B$10</c:f>
              <c:numCache>
                <c:formatCode>General</c:formatCode>
                <c:ptCount val="3"/>
                <c:pt idx="0">
                  <c:v>44</c:v>
                </c:pt>
                <c:pt idx="1">
                  <c:v>9</c:v>
                </c:pt>
                <c:pt idx="2">
                  <c:v>17</c:v>
                </c:pt>
              </c:numCache>
            </c:numRef>
          </c:val>
          <c:extLst>
            <c:ext xmlns:c16="http://schemas.microsoft.com/office/drawing/2014/chart" uri="{C3380CC4-5D6E-409C-BE32-E72D297353CC}">
              <c16:uniqueId val="{00000006-EB90-47CD-93FB-D253DD707BA4}"/>
            </c:ext>
          </c:extLst>
        </c:ser>
        <c:dLbls>
          <c:showLegendKey val="0"/>
          <c:showVal val="0"/>
          <c:showCatName val="0"/>
          <c:showSerName val="0"/>
          <c:showPercent val="1"/>
          <c:showBubbleSize val="0"/>
          <c:showLeaderLines val="1"/>
        </c:dLbls>
        <c:firstSliceAng val="0"/>
        <c:holeSize val="50"/>
      </c:doughnutChart>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[Call-Center-Sentiment-Sample-Data.xlsx]Analysis!Calls &amp; CSAT by Reason</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Calls by Reason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pivotFmt>
      <c:pivotFmt>
        <c:idx val="3"/>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Analysis!$E$6</c:f>
              <c:strCache>
                <c:ptCount val="1"/>
                <c:pt idx="0">
                  <c:v>Total</c:v>
                </c:pt>
              </c:strCache>
            </c:strRef>
          </c:tx>
          <c:spPr>
            <a:solidFill>
              <a:schemeClr val="accent5">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Analysis!$D$7:$D$10</c:f>
              <c:strCache>
                <c:ptCount val="3"/>
                <c:pt idx="0">
                  <c:v>Service Outage</c:v>
                </c:pt>
                <c:pt idx="1">
                  <c:v>Payments</c:v>
                </c:pt>
                <c:pt idx="2">
                  <c:v>Billing Question</c:v>
                </c:pt>
              </c:strCache>
            </c:strRef>
          </c:cat>
          <c:val>
            <c:numRef>
              <c:f>Analysis!$E$7:$E$10</c:f>
              <c:numCache>
                <c:formatCode>0</c:formatCode>
                <c:ptCount val="3"/>
                <c:pt idx="0">
                  <c:v>8</c:v>
                </c:pt>
                <c:pt idx="1">
                  <c:v>12</c:v>
                </c:pt>
                <c:pt idx="2">
                  <c:v>50</c:v>
                </c:pt>
              </c:numCache>
            </c:numRef>
          </c:val>
          <c:extLst>
            <c:ext xmlns:c16="http://schemas.microsoft.com/office/drawing/2014/chart" uri="{C3380CC4-5D6E-409C-BE32-E72D297353CC}">
              <c16:uniqueId val="{00000000-B162-48AB-9093-EC2B5F300664}"/>
            </c:ext>
          </c:extLst>
        </c:ser>
        <c:dLbls>
          <c:dLblPos val="inEnd"/>
          <c:showLegendKey val="0"/>
          <c:showVal val="1"/>
          <c:showCatName val="0"/>
          <c:showSerName val="0"/>
          <c:showPercent val="0"/>
          <c:showBubbleSize val="0"/>
        </c:dLbls>
        <c:gapWidth val="65"/>
        <c:axId val="1335666991"/>
        <c:axId val="840955455"/>
      </c:barChart>
      <c:catAx>
        <c:axId val="133566699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Reason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840955455"/>
        <c:crosses val="autoZero"/>
        <c:auto val="1"/>
        <c:lblAlgn val="ctr"/>
        <c:lblOffset val="100"/>
        <c:noMultiLvlLbl val="0"/>
      </c:catAx>
      <c:valAx>
        <c:axId val="8409554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Calls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crossAx val="1335666991"/>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[Call-Center-Sentiment-Sample-Data.xlsx]Analysis!Call Center Performance</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CSAT by Call Center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Analysis!$B$20</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Analysis!$A$21:$A$25</c:f>
              <c:strCache>
                <c:ptCount val="4"/>
                <c:pt idx="0">
                  <c:v>Los Angeles/CA</c:v>
                </c:pt>
                <c:pt idx="1">
                  <c:v>Baltimore/MD</c:v>
                </c:pt>
                <c:pt idx="2">
                  <c:v>Chicago/IL</c:v>
                </c:pt>
                <c:pt idx="3">
                  <c:v>Denver/CO</c:v>
                </c:pt>
              </c:strCache>
            </c:strRef>
          </c:cat>
          <c:val>
            <c:numRef>
              <c:f>Analysis!$B$21:$B$25</c:f>
              <c:numCache>
                <c:formatCode>0.00</c:formatCode>
                <c:ptCount val="4"/>
                <c:pt idx="0">
                  <c:v>6</c:v>
                </c:pt>
                <c:pt idx="1">
                  <c:v>5.1481481481481479</c:v>
                </c:pt>
                <c:pt idx="2">
                  <c:v>4.7142857142857144</c:v>
                </c:pt>
                <c:pt idx="3">
                  <c:v>3.5</c:v>
                </c:pt>
              </c:numCache>
            </c:numRef>
          </c:val>
          <c:extLst>
            <c:ext xmlns:c16="http://schemas.microsoft.com/office/drawing/2014/chart" uri="{C3380CC4-5D6E-409C-BE32-E72D297353CC}">
              <c16:uniqueId val="{00000000-DC61-4032-B600-76B88D5A7CC1}"/>
            </c:ext>
          </c:extLst>
        </c:ser>
        <c:dLbls>
          <c:dLblPos val="inEnd"/>
          <c:showLegendKey val="0"/>
          <c:showVal val="1"/>
          <c:showCatName val="0"/>
          <c:showSerName val="0"/>
          <c:showPercent val="0"/>
          <c:showBubbleSize val="0"/>
        </c:dLbls>
        <c:gapWidth val="65"/>
        <c:axId val="1338643455"/>
        <c:axId val="1348365119"/>
      </c:barChart>
      <c:catAx>
        <c:axId val="13386434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Call Center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1348365119"/>
        <c:crosses val="autoZero"/>
        <c:auto val="1"/>
        <c:lblAlgn val="ctr"/>
        <c:lblOffset val="100"/>
        <c:noMultiLvlLbl val="0"/>
      </c:catAx>
      <c:valAx>
        <c:axId val="13483651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Average CSAT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crossAx val="1338643455"/>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[Call-Center-Sentiment-Sample-Data.xlsx]Visualization!Daily Call Volume</c:name>
    <c:fmtId val="3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Daily Calls Trend</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spPr>
          <a:ln w="31750" cap="rnd">
            <a:solidFill>
              <a:schemeClr val="accent5"/>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Visualization!$X$5</c:f>
              <c:strCache>
                <c:ptCount val="1"/>
                <c:pt idx="0">
                  <c:v>Total</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Visualization!$W$6:$W$37</c:f>
              <c:strCache>
                <c:ptCount val="31"/>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Visualization!$X$6:$X$37</c:f>
              <c:numCache>
                <c:formatCode>General</c:formatCode>
                <c:ptCount val="31"/>
                <c:pt idx="0">
                  <c:v>2</c:v>
                </c:pt>
                <c:pt idx="1">
                  <c:v>3</c:v>
                </c:pt>
                <c:pt idx="2">
                  <c:v>2</c:v>
                </c:pt>
                <c:pt idx="3">
                  <c:v>2</c:v>
                </c:pt>
                <c:pt idx="4">
                  <c:v>2</c:v>
                </c:pt>
                <c:pt idx="5">
                  <c:v>2</c:v>
                </c:pt>
                <c:pt idx="6">
                  <c:v>2</c:v>
                </c:pt>
                <c:pt idx="7">
                  <c:v>4</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4</c:v>
                </c:pt>
                <c:pt idx="24">
                  <c:v>2</c:v>
                </c:pt>
                <c:pt idx="25">
                  <c:v>2</c:v>
                </c:pt>
                <c:pt idx="26">
                  <c:v>2</c:v>
                </c:pt>
                <c:pt idx="27">
                  <c:v>2</c:v>
                </c:pt>
                <c:pt idx="28">
                  <c:v>5</c:v>
                </c:pt>
                <c:pt idx="29">
                  <c:v>2</c:v>
                </c:pt>
                <c:pt idx="30">
                  <c:v>2</c:v>
                </c:pt>
              </c:numCache>
            </c:numRef>
          </c:val>
          <c:smooth val="0"/>
          <c:extLst>
            <c:ext xmlns:c16="http://schemas.microsoft.com/office/drawing/2014/chart" uri="{C3380CC4-5D6E-409C-BE32-E72D297353CC}">
              <c16:uniqueId val="{00000000-3D6F-4014-B05D-53CAC365C672}"/>
            </c:ext>
          </c:extLst>
        </c:ser>
        <c:dLbls>
          <c:dLblPos val="ctr"/>
          <c:showLegendKey val="0"/>
          <c:showVal val="1"/>
          <c:showCatName val="0"/>
          <c:showSerName val="0"/>
          <c:showPercent val="0"/>
          <c:showBubbleSize val="0"/>
        </c:dLbls>
        <c:marker val="1"/>
        <c:smooth val="0"/>
        <c:axId val="724141695"/>
        <c:axId val="726216655"/>
      </c:lineChart>
      <c:catAx>
        <c:axId val="724141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Call</a:t>
                </a:r>
                <a:r>
                  <a:rPr lang="en-US" baseline="0"/>
                  <a:t> Timestamp</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726216655"/>
        <c:crosses val="autoZero"/>
        <c:auto val="1"/>
        <c:lblAlgn val="ctr"/>
        <c:lblOffset val="100"/>
        <c:noMultiLvlLbl val="0"/>
      </c:catAx>
      <c:valAx>
        <c:axId val="7262166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Calls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crossAx val="724141695"/>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[Call-Center-Sentiment-Sample-Data.xlsx]Visualization!Sentiment VS CSAT</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Average Customer Sentiment Distribution</a:t>
            </a:r>
          </a:p>
        </c:rich>
      </c:tx>
      <c:layout>
        <c:manualLayout>
          <c:xMode val="edge"/>
          <c:yMode val="edge"/>
          <c:x val="0.28504155730533681"/>
          <c:y val="1.592173027836700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5">
              <a:shade val="53000"/>
            </a:schemeClr>
          </a:solidFill>
          <a:ln>
            <a:noFill/>
          </a:ln>
          <a:effectLst>
            <a:outerShdw blurRad="254000" sx="102000" sy="102000" algn="ctr" rotWithShape="0">
              <a:prstClr val="black">
                <a:alpha val="20000"/>
              </a:prstClr>
            </a:outerShdw>
          </a:effectLst>
          <a:sp3d/>
        </c:spPr>
        <c:dLbl>
          <c:idx val="0"/>
          <c:layout>
            <c:manualLayout>
              <c:x val="4.1163604549431323E-4"/>
              <c:y val="-7.906079342871327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PK"/>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5">
              <a:tint val="54000"/>
            </a:schemeClr>
          </a:solidFill>
          <a:ln>
            <a:noFill/>
          </a:ln>
          <a:effectLst>
            <a:outerShdw blurRad="254000" sx="102000" sy="102000" algn="ctr" rotWithShape="0">
              <a:prstClr val="black">
                <a:alpha val="20000"/>
              </a:prstClr>
            </a:outerShdw>
          </a:effectLst>
          <a:sp3d/>
        </c:spPr>
        <c:dLbl>
          <c:idx val="0"/>
          <c:layout>
            <c:manualLayout>
              <c:x val="2.4070428696412694E-3"/>
              <c:y val="-9.4656984917399229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5">
              <a:tint val="77000"/>
            </a:schemeClr>
          </a:solidFill>
          <a:ln>
            <a:noFill/>
          </a:ln>
          <a:effectLst>
            <a:outerShdw blurRad="254000" sx="102000" sy="102000" algn="ctr" rotWithShape="0">
              <a:prstClr val="black">
                <a:alpha val="20000"/>
              </a:prstClr>
            </a:outerShdw>
          </a:effectLst>
          <a:sp3d/>
        </c:spPr>
        <c:dLbl>
          <c:idx val="0"/>
          <c:layout>
            <c:manualLayout>
              <c:x val="6.4622484689413812E-2"/>
              <c:y val="-2.35050306211724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5"/>
          </a:solidFill>
          <a:ln>
            <a:noFill/>
          </a:ln>
          <a:effectLst>
            <a:outerShdw blurRad="254000" sx="102000" sy="102000" algn="ctr" rotWithShape="0">
              <a:prstClr val="black">
                <a:alpha val="20000"/>
              </a:prstClr>
            </a:outerShdw>
          </a:effectLst>
          <a:sp3d/>
        </c:spPr>
        <c:dLbl>
          <c:idx val="0"/>
          <c:layout>
            <c:manualLayout>
              <c:x val="-1.7559930008748906E-2"/>
              <c:y val="-0.1046179644211139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5">
              <a:shade val="76000"/>
            </a:schemeClr>
          </a:solidFill>
          <a:ln>
            <a:noFill/>
          </a:ln>
          <a:effectLst>
            <a:outerShdw blurRad="254000" sx="102000" sy="102000" algn="ctr" rotWithShape="0">
              <a:prstClr val="black">
                <a:alpha val="20000"/>
              </a:prstClr>
            </a:outerShdw>
          </a:effectLst>
          <a:sp3d/>
        </c:spPr>
        <c:dLbl>
          <c:idx val="0"/>
          <c:layout>
            <c:manualLayout>
              <c:x val="0.14504943132108486"/>
              <c:y val="-4.96373522956545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5">
              <a:shade val="53000"/>
            </a:schemeClr>
          </a:solidFill>
          <a:ln>
            <a:noFill/>
          </a:ln>
          <a:effectLst>
            <a:outerShdw blurRad="254000" sx="102000" sy="102000" algn="ctr" rotWithShape="0">
              <a:prstClr val="black">
                <a:alpha val="20000"/>
              </a:prstClr>
            </a:outerShdw>
          </a:effectLst>
          <a:sp3d/>
        </c:spPr>
      </c:pivotFmt>
      <c:pivotFmt>
        <c:idx val="9"/>
        <c:spPr>
          <a:solidFill>
            <a:schemeClr val="accent5">
              <a:shade val="76000"/>
            </a:schemeClr>
          </a:solidFill>
          <a:ln>
            <a:noFill/>
          </a:ln>
          <a:effectLst>
            <a:outerShdw blurRad="254000" sx="102000" sy="102000" algn="ctr" rotWithShape="0">
              <a:prstClr val="black">
                <a:alpha val="20000"/>
              </a:prstClr>
            </a:outerShdw>
          </a:effectLst>
          <a:sp3d/>
        </c:spPr>
      </c:pivotFmt>
      <c:pivotFmt>
        <c:idx val="10"/>
        <c:spPr>
          <a:solidFill>
            <a:schemeClr val="accent5"/>
          </a:solidFill>
          <a:ln>
            <a:noFill/>
          </a:ln>
          <a:effectLst>
            <a:outerShdw blurRad="254000" sx="102000" sy="102000" algn="ctr" rotWithShape="0">
              <a:prstClr val="black">
                <a:alpha val="20000"/>
              </a:prstClr>
            </a:outerShdw>
          </a:effectLst>
          <a:sp3d/>
        </c:spPr>
      </c:pivotFmt>
      <c:pivotFmt>
        <c:idx val="11"/>
        <c:spPr>
          <a:solidFill>
            <a:schemeClr val="accent5">
              <a:tint val="77000"/>
            </a:schemeClr>
          </a:solidFill>
          <a:ln>
            <a:noFill/>
          </a:ln>
          <a:effectLst>
            <a:outerShdw blurRad="254000" sx="102000" sy="102000" algn="ctr" rotWithShape="0">
              <a:prstClr val="black">
                <a:alpha val="20000"/>
              </a:prstClr>
            </a:outerShdw>
          </a:effectLst>
          <a:sp3d/>
        </c:spPr>
      </c:pivotFmt>
      <c:pivotFmt>
        <c:idx val="12"/>
        <c:spPr>
          <a:solidFill>
            <a:schemeClr val="accent5">
              <a:tint val="54000"/>
            </a:schemeClr>
          </a:solidFill>
          <a:ln>
            <a:noFill/>
          </a:ln>
          <a:effectLst>
            <a:outerShdw blurRad="254000" sx="102000" sy="102000" algn="ctr" rotWithShape="0">
              <a:prstClr val="black">
                <a:alpha val="20000"/>
              </a:prstClr>
            </a:outerShdw>
          </a:effectLst>
          <a:sp3d/>
        </c:spPr>
      </c:pivotFmt>
      <c:pivotFmt>
        <c:idx val="13"/>
        <c:spPr>
          <a:solidFill>
            <a:schemeClr val="accent5">
              <a:shade val="53000"/>
            </a:schemeClr>
          </a:solidFill>
          <a:ln>
            <a:noFill/>
          </a:ln>
          <a:effectLst>
            <a:outerShdw blurRad="254000" sx="102000" sy="102000" algn="ctr" rotWithShape="0">
              <a:prstClr val="black">
                <a:alpha val="20000"/>
              </a:prstClr>
            </a:outerShdw>
          </a:effectLst>
          <a:sp3d/>
        </c:spPr>
      </c:pivotFmt>
      <c:pivotFmt>
        <c:idx val="14"/>
        <c:spPr>
          <a:solidFill>
            <a:schemeClr val="accent5">
              <a:shade val="76000"/>
            </a:schemeClr>
          </a:solidFill>
          <a:ln>
            <a:noFill/>
          </a:ln>
          <a:effectLst>
            <a:outerShdw blurRad="254000" sx="102000" sy="102000" algn="ctr" rotWithShape="0">
              <a:prstClr val="black">
                <a:alpha val="20000"/>
              </a:prstClr>
            </a:outerShdw>
          </a:effectLst>
          <a:sp3d/>
        </c:spPr>
      </c:pivotFmt>
      <c:pivotFmt>
        <c:idx val="15"/>
        <c:spPr>
          <a:solidFill>
            <a:schemeClr val="accent5"/>
          </a:solidFill>
          <a:ln>
            <a:noFill/>
          </a:ln>
          <a:effectLst>
            <a:outerShdw blurRad="254000" sx="102000" sy="102000" algn="ctr" rotWithShape="0">
              <a:prstClr val="black">
                <a:alpha val="20000"/>
              </a:prstClr>
            </a:outerShdw>
          </a:effectLst>
          <a:sp3d/>
        </c:spPr>
      </c:pivotFmt>
      <c:pivotFmt>
        <c:idx val="16"/>
        <c:spPr>
          <a:solidFill>
            <a:schemeClr val="accent5">
              <a:tint val="77000"/>
            </a:schemeClr>
          </a:solidFill>
          <a:ln>
            <a:noFill/>
          </a:ln>
          <a:effectLst>
            <a:outerShdw blurRad="254000" sx="102000" sy="102000" algn="ctr" rotWithShape="0">
              <a:prstClr val="black">
                <a:alpha val="20000"/>
              </a:prstClr>
            </a:outerShdw>
          </a:effectLst>
          <a:sp3d/>
        </c:spPr>
      </c:pivotFmt>
      <c:pivotFmt>
        <c:idx val="17"/>
        <c:spPr>
          <a:solidFill>
            <a:schemeClr val="accent5">
              <a:tint val="54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903086857804213E-2"/>
          <c:y val="0.28788420213334887"/>
          <c:w val="0.78035824574877932"/>
          <c:h val="0.65551658028904891"/>
        </c:manualLayout>
      </c:layout>
      <c:pie3DChart>
        <c:varyColors val="1"/>
        <c:ser>
          <c:idx val="0"/>
          <c:order val="0"/>
          <c:tx>
            <c:strRef>
              <c:f>Visualization!$L$32</c:f>
              <c:strCache>
                <c:ptCount val="1"/>
                <c:pt idx="0">
                  <c:v>Calls</c:v>
                </c:pt>
              </c:strCache>
            </c:strRef>
          </c:tx>
          <c:dPt>
            <c:idx val="0"/>
            <c:bubble3D val="0"/>
            <c:spPr>
              <a:solidFill>
                <a:schemeClr val="accent5">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807-4227-9A39-22123F93AABC}"/>
              </c:ext>
            </c:extLst>
          </c:dPt>
          <c:dPt>
            <c:idx val="1"/>
            <c:bubble3D val="0"/>
            <c:spPr>
              <a:solidFill>
                <a:schemeClr val="accent5">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807-4227-9A39-22123F93AABC}"/>
              </c:ext>
            </c:extLst>
          </c:dPt>
          <c:dPt>
            <c:idx val="2"/>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A807-4227-9A39-22123F93AABC}"/>
              </c:ext>
            </c:extLst>
          </c:dPt>
          <c:dPt>
            <c:idx val="3"/>
            <c:bubble3D val="0"/>
            <c:spPr>
              <a:solidFill>
                <a:schemeClr val="accent5">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807-4227-9A39-22123F93AABC}"/>
              </c:ext>
            </c:extLst>
          </c:dPt>
          <c:dPt>
            <c:idx val="4"/>
            <c:bubble3D val="0"/>
            <c:spPr>
              <a:solidFill>
                <a:schemeClr val="accent5">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A807-4227-9A39-22123F93AABC}"/>
              </c:ext>
            </c:extLst>
          </c:dPt>
          <c:dLbls>
            <c:dLbl>
              <c:idx val="0"/>
              <c:layout>
                <c:manualLayout>
                  <c:x val="4.1163604549431323E-4"/>
                  <c:y val="-7.906079342871327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PK"/>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A807-4227-9A39-22123F93AABC}"/>
                </c:ext>
              </c:extLst>
            </c:dLbl>
            <c:dLbl>
              <c:idx val="1"/>
              <c:layout>
                <c:manualLayout>
                  <c:x val="0.14504943132108486"/>
                  <c:y val="-4.96373522956545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7-A807-4227-9A39-22123F93AABC}"/>
                </c:ext>
              </c:extLst>
            </c:dLbl>
            <c:dLbl>
              <c:idx val="2"/>
              <c:layout>
                <c:manualLayout>
                  <c:x val="-1.7559930008748906E-2"/>
                  <c:y val="-0.1046179644211139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6-A807-4227-9A39-22123F93AABC}"/>
                </c:ext>
              </c:extLst>
            </c:dLbl>
            <c:dLbl>
              <c:idx val="3"/>
              <c:layout>
                <c:manualLayout>
                  <c:x val="6.4622484689413812E-2"/>
                  <c:y val="-2.35050306211724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A807-4227-9A39-22123F93AABC}"/>
                </c:ext>
              </c:extLst>
            </c:dLbl>
            <c:dLbl>
              <c:idx val="4"/>
              <c:layout>
                <c:manualLayout>
                  <c:x val="2.4070428696412694E-3"/>
                  <c:y val="-9.4656984917399229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4-A807-4227-9A39-22123F93AAB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Visualization!$K$33:$K$38</c:f>
              <c:strCache>
                <c:ptCount val="5"/>
                <c:pt idx="0">
                  <c:v>Negative</c:v>
                </c:pt>
                <c:pt idx="1">
                  <c:v>Neutral</c:v>
                </c:pt>
                <c:pt idx="2">
                  <c:v>Positive</c:v>
                </c:pt>
                <c:pt idx="3">
                  <c:v>Very Negative</c:v>
                </c:pt>
                <c:pt idx="4">
                  <c:v>Very Positive</c:v>
                </c:pt>
              </c:strCache>
            </c:strRef>
          </c:cat>
          <c:val>
            <c:numRef>
              <c:f>Visualization!$L$33:$L$38</c:f>
              <c:numCache>
                <c:formatCode>0</c:formatCode>
                <c:ptCount val="5"/>
                <c:pt idx="0">
                  <c:v>29</c:v>
                </c:pt>
                <c:pt idx="1">
                  <c:v>9</c:v>
                </c:pt>
                <c:pt idx="2">
                  <c:v>10</c:v>
                </c:pt>
                <c:pt idx="3">
                  <c:v>15</c:v>
                </c:pt>
                <c:pt idx="4">
                  <c:v>7</c:v>
                </c:pt>
              </c:numCache>
            </c:numRef>
          </c:val>
          <c:extLst>
            <c:ext xmlns:c16="http://schemas.microsoft.com/office/drawing/2014/chart" uri="{C3380CC4-5D6E-409C-BE32-E72D297353CC}">
              <c16:uniqueId val="{00000000-A807-4227-9A39-22123F93AABC}"/>
            </c:ext>
          </c:extLst>
        </c:ser>
        <c:ser>
          <c:idx val="1"/>
          <c:order val="1"/>
          <c:tx>
            <c:strRef>
              <c:f>Visualization!$M$32</c:f>
              <c:strCache>
                <c:ptCount val="1"/>
                <c:pt idx="0">
                  <c:v>Avg CSAT</c:v>
                </c:pt>
              </c:strCache>
            </c:strRef>
          </c:tx>
          <c:dPt>
            <c:idx val="0"/>
            <c:bubble3D val="0"/>
            <c:spPr>
              <a:solidFill>
                <a:schemeClr val="accent5">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A38-4559-B174-C19F9D200C37}"/>
              </c:ext>
            </c:extLst>
          </c:dPt>
          <c:dPt>
            <c:idx val="1"/>
            <c:bubble3D val="0"/>
            <c:spPr>
              <a:solidFill>
                <a:schemeClr val="accent5">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EA38-4559-B174-C19F9D200C37}"/>
              </c:ext>
            </c:extLst>
          </c:dPt>
          <c:dPt>
            <c:idx val="2"/>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EA38-4559-B174-C19F9D200C37}"/>
              </c:ext>
            </c:extLst>
          </c:dPt>
          <c:dPt>
            <c:idx val="3"/>
            <c:bubble3D val="0"/>
            <c:spPr>
              <a:solidFill>
                <a:schemeClr val="accent5">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EA38-4559-B174-C19F9D200C37}"/>
              </c:ext>
            </c:extLst>
          </c:dPt>
          <c:dPt>
            <c:idx val="4"/>
            <c:bubble3D val="0"/>
            <c:spPr>
              <a:solidFill>
                <a:schemeClr val="accent5">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EA38-4559-B174-C19F9D200C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Visualization!$K$33:$K$38</c:f>
              <c:strCache>
                <c:ptCount val="5"/>
                <c:pt idx="0">
                  <c:v>Negative</c:v>
                </c:pt>
                <c:pt idx="1">
                  <c:v>Neutral</c:v>
                </c:pt>
                <c:pt idx="2">
                  <c:v>Positive</c:v>
                </c:pt>
                <c:pt idx="3">
                  <c:v>Very Negative</c:v>
                </c:pt>
                <c:pt idx="4">
                  <c:v>Very Positive</c:v>
                </c:pt>
              </c:strCache>
            </c:strRef>
          </c:cat>
          <c:val>
            <c:numRef>
              <c:f>Visualization!$M$33:$M$38</c:f>
              <c:numCache>
                <c:formatCode>0.00</c:formatCode>
                <c:ptCount val="5"/>
                <c:pt idx="0">
                  <c:v>4.1724137931034484</c:v>
                </c:pt>
                <c:pt idx="1">
                  <c:v>7</c:v>
                </c:pt>
                <c:pt idx="2">
                  <c:v>7.7</c:v>
                </c:pt>
                <c:pt idx="3">
                  <c:v>3.0666666666666669</c:v>
                </c:pt>
                <c:pt idx="4">
                  <c:v>9.4285714285714288</c:v>
                </c:pt>
              </c:numCache>
            </c:numRef>
          </c:val>
          <c:extLst>
            <c:ext xmlns:c16="http://schemas.microsoft.com/office/drawing/2014/chart" uri="{C3380CC4-5D6E-409C-BE32-E72D297353CC}">
              <c16:uniqueId val="{00000001-A807-4227-9A39-22123F93AABC}"/>
            </c:ext>
          </c:extLst>
        </c:ser>
        <c:ser>
          <c:idx val="2"/>
          <c:order val="2"/>
          <c:tx>
            <c:strRef>
              <c:f>Visualization!$N$32</c:f>
              <c:strCache>
                <c:ptCount val="1"/>
                <c:pt idx="0">
                  <c:v>Avg Duration</c:v>
                </c:pt>
              </c:strCache>
            </c:strRef>
          </c:tx>
          <c:dPt>
            <c:idx val="0"/>
            <c:bubble3D val="0"/>
            <c:spPr>
              <a:solidFill>
                <a:schemeClr val="accent5">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EA38-4559-B174-C19F9D200C37}"/>
              </c:ext>
            </c:extLst>
          </c:dPt>
          <c:dPt>
            <c:idx val="1"/>
            <c:bubble3D val="0"/>
            <c:spPr>
              <a:solidFill>
                <a:schemeClr val="accent5">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EA38-4559-B174-C19F9D200C37}"/>
              </c:ext>
            </c:extLst>
          </c:dPt>
          <c:dPt>
            <c:idx val="2"/>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EA38-4559-B174-C19F9D200C37}"/>
              </c:ext>
            </c:extLst>
          </c:dPt>
          <c:dPt>
            <c:idx val="3"/>
            <c:bubble3D val="0"/>
            <c:spPr>
              <a:solidFill>
                <a:schemeClr val="accent5">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EA38-4559-B174-C19F9D200C37}"/>
              </c:ext>
            </c:extLst>
          </c:dPt>
          <c:dPt>
            <c:idx val="4"/>
            <c:bubble3D val="0"/>
            <c:spPr>
              <a:solidFill>
                <a:schemeClr val="accent5">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EA38-4559-B174-C19F9D200C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Visualization!$K$33:$K$38</c:f>
              <c:strCache>
                <c:ptCount val="5"/>
                <c:pt idx="0">
                  <c:v>Negative</c:v>
                </c:pt>
                <c:pt idx="1">
                  <c:v>Neutral</c:v>
                </c:pt>
                <c:pt idx="2">
                  <c:v>Positive</c:v>
                </c:pt>
                <c:pt idx="3">
                  <c:v>Very Negative</c:v>
                </c:pt>
                <c:pt idx="4">
                  <c:v>Very Positive</c:v>
                </c:pt>
              </c:strCache>
            </c:strRef>
          </c:cat>
          <c:val>
            <c:numRef>
              <c:f>Visualization!$N$33:$N$38</c:f>
              <c:numCache>
                <c:formatCode>0.0</c:formatCode>
                <c:ptCount val="5"/>
                <c:pt idx="0">
                  <c:v>27.689655172413794</c:v>
                </c:pt>
                <c:pt idx="1">
                  <c:v>20.444444444444443</c:v>
                </c:pt>
                <c:pt idx="2">
                  <c:v>24.5</c:v>
                </c:pt>
                <c:pt idx="3">
                  <c:v>29.133333333333333</c:v>
                </c:pt>
                <c:pt idx="4">
                  <c:v>24.142857142857142</c:v>
                </c:pt>
              </c:numCache>
            </c:numRef>
          </c:val>
          <c:extLst>
            <c:ext xmlns:c16="http://schemas.microsoft.com/office/drawing/2014/chart" uri="{C3380CC4-5D6E-409C-BE32-E72D297353CC}">
              <c16:uniqueId val="{00000002-A807-4227-9A39-22123F93AABC}"/>
            </c:ext>
          </c:extLst>
        </c:ser>
        <c:dLbls>
          <c:showLegendKey val="0"/>
          <c:showVal val="0"/>
          <c:showCatName val="0"/>
          <c:showSerName val="0"/>
          <c:showPercent val="0"/>
          <c:showBubbleSize val="0"/>
          <c:showLeaderLines val="1"/>
        </c:dLbls>
      </c:pie3DChart>
      <c:spPr>
        <a:solidFill>
          <a:schemeClr val="bg1"/>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[Call-Center-Sentiment-Sample-Data.xlsx]Visualization!Calls by State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Calls</a:t>
            </a:r>
            <a:r>
              <a:rPr lang="en-US" baseline="0"/>
              <a:t> by State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spPr>
          <a:solidFill>
            <a:schemeClr val="bg2">
              <a:lumMod val="2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Visualization!$AJ$5</c:f>
              <c:strCache>
                <c:ptCount val="1"/>
                <c:pt idx="0">
                  <c:v>Total</c:v>
                </c:pt>
              </c:strCache>
            </c:strRef>
          </c:tx>
          <c:spPr>
            <a:solidFill>
              <a:schemeClr val="bg2">
                <a:lumMod val="25000"/>
              </a:schemeClr>
            </a:solidFill>
            <a:ln w="9525" cap="flat" cmpd="sng" algn="ctr">
              <a:solidFill>
                <a:schemeClr val="lt1">
                  <a:alpha val="50000"/>
                </a:schemeClr>
              </a:solidFill>
              <a:round/>
            </a:ln>
            <a:effectLst/>
          </c:spPr>
          <c:invertIfNegative val="0"/>
          <c:cat>
            <c:strRef>
              <c:f>Visualization!$AI$6:$AI$35</c:f>
              <c:strCache>
                <c:ptCount val="29"/>
                <c:pt idx="0">
                  <c:v>California</c:v>
                </c:pt>
                <c:pt idx="1">
                  <c:v>Texas</c:v>
                </c:pt>
                <c:pt idx="2">
                  <c:v>Florida</c:v>
                </c:pt>
                <c:pt idx="3">
                  <c:v>Illinois</c:v>
                </c:pt>
                <c:pt idx="4">
                  <c:v>Pennsylvania</c:v>
                </c:pt>
                <c:pt idx="5">
                  <c:v>Minnesota</c:v>
                </c:pt>
                <c:pt idx="6">
                  <c:v>New York</c:v>
                </c:pt>
                <c:pt idx="7">
                  <c:v>Nevada</c:v>
                </c:pt>
                <c:pt idx="8">
                  <c:v>Alabama</c:v>
                </c:pt>
                <c:pt idx="9">
                  <c:v>District of Columbia</c:v>
                </c:pt>
                <c:pt idx="10">
                  <c:v>West Virginia</c:v>
                </c:pt>
                <c:pt idx="11">
                  <c:v>Indiana</c:v>
                </c:pt>
                <c:pt idx="12">
                  <c:v>Arkansas</c:v>
                </c:pt>
                <c:pt idx="13">
                  <c:v>Utah</c:v>
                </c:pt>
                <c:pt idx="14">
                  <c:v>Rhode Island</c:v>
                </c:pt>
                <c:pt idx="15">
                  <c:v>Ohio</c:v>
                </c:pt>
                <c:pt idx="16">
                  <c:v>Arizona</c:v>
                </c:pt>
                <c:pt idx="17">
                  <c:v>Colorado</c:v>
                </c:pt>
                <c:pt idx="18">
                  <c:v>Hawaii</c:v>
                </c:pt>
                <c:pt idx="19">
                  <c:v>Missouri</c:v>
                </c:pt>
                <c:pt idx="20">
                  <c:v>South Carolina</c:v>
                </c:pt>
                <c:pt idx="21">
                  <c:v>Tennessee</c:v>
                </c:pt>
                <c:pt idx="22">
                  <c:v>Georgia</c:v>
                </c:pt>
                <c:pt idx="23">
                  <c:v>Iowa</c:v>
                </c:pt>
                <c:pt idx="24">
                  <c:v>Virginia</c:v>
                </c:pt>
                <c:pt idx="25">
                  <c:v>Kansas</c:v>
                </c:pt>
                <c:pt idx="26">
                  <c:v>Wisconsin</c:v>
                </c:pt>
                <c:pt idx="27">
                  <c:v>Louisiana</c:v>
                </c:pt>
                <c:pt idx="28">
                  <c:v>Michigan</c:v>
                </c:pt>
              </c:strCache>
            </c:strRef>
          </c:cat>
          <c:val>
            <c:numRef>
              <c:f>Visualization!$AJ$6:$AJ$35</c:f>
              <c:numCache>
                <c:formatCode>General</c:formatCode>
                <c:ptCount val="29"/>
                <c:pt idx="0">
                  <c:v>9</c:v>
                </c:pt>
                <c:pt idx="1">
                  <c:v>9</c:v>
                </c:pt>
                <c:pt idx="2">
                  <c:v>7</c:v>
                </c:pt>
                <c:pt idx="3">
                  <c:v>5</c:v>
                </c:pt>
                <c:pt idx="4">
                  <c:v>4</c:v>
                </c:pt>
                <c:pt idx="5">
                  <c:v>4</c:v>
                </c:pt>
                <c:pt idx="6">
                  <c:v>3</c:v>
                </c:pt>
                <c:pt idx="7">
                  <c:v>2</c:v>
                </c:pt>
                <c:pt idx="8">
                  <c:v>2</c:v>
                </c:pt>
                <c:pt idx="9">
                  <c:v>2</c:v>
                </c:pt>
                <c:pt idx="10">
                  <c:v>2</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numCache>
            </c:numRef>
          </c:val>
          <c:extLst>
            <c:ext xmlns:c16="http://schemas.microsoft.com/office/drawing/2014/chart" uri="{C3380CC4-5D6E-409C-BE32-E72D297353CC}">
              <c16:uniqueId val="{00000000-81CF-421D-A570-70D3884D2E2A}"/>
            </c:ext>
          </c:extLst>
        </c:ser>
        <c:dLbls>
          <c:showLegendKey val="0"/>
          <c:showVal val="0"/>
          <c:showCatName val="0"/>
          <c:showSerName val="0"/>
          <c:showPercent val="0"/>
          <c:showBubbleSize val="0"/>
        </c:dLbls>
        <c:gapWidth val="65"/>
        <c:axId val="940100655"/>
        <c:axId val="939050687"/>
      </c:barChart>
      <c:catAx>
        <c:axId val="9401006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State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939050687"/>
        <c:crosses val="autoZero"/>
        <c:auto val="1"/>
        <c:lblAlgn val="ctr"/>
        <c:lblOffset val="100"/>
        <c:noMultiLvlLbl val="0"/>
      </c:catAx>
      <c:valAx>
        <c:axId val="9390506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Calls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crossAx val="940100655"/>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[Call-Center-Sentiment-Sample-Data.xlsx]Analysis!Average CSAT by Channel</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CSAT by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chemeClr val="accent4"/>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Analysis!$A$13:$A$17</c:f>
              <c:strCache>
                <c:ptCount val="4"/>
                <c:pt idx="0">
                  <c:v>Call-Center</c:v>
                </c:pt>
                <c:pt idx="1">
                  <c:v>Email</c:v>
                </c:pt>
                <c:pt idx="2">
                  <c:v>Web</c:v>
                </c:pt>
                <c:pt idx="3">
                  <c:v>Chatbot</c:v>
                </c:pt>
              </c:strCache>
            </c:strRef>
          </c:cat>
          <c:val>
            <c:numRef>
              <c:f>Analysis!$B$13:$B$17</c:f>
              <c:numCache>
                <c:formatCode>0.00</c:formatCode>
                <c:ptCount val="4"/>
                <c:pt idx="0">
                  <c:v>5.6956521739130439</c:v>
                </c:pt>
                <c:pt idx="1">
                  <c:v>5.5</c:v>
                </c:pt>
                <c:pt idx="2">
                  <c:v>5.4117647058823533</c:v>
                </c:pt>
                <c:pt idx="3">
                  <c:v>4.8181818181818183</c:v>
                </c:pt>
              </c:numCache>
            </c:numRef>
          </c:val>
          <c:extLst>
            <c:ext xmlns:c16="http://schemas.microsoft.com/office/drawing/2014/chart" uri="{C3380CC4-5D6E-409C-BE32-E72D297353CC}">
              <c16:uniqueId val="{00000000-B873-49C1-B807-2BCEF7E54821}"/>
            </c:ext>
          </c:extLst>
        </c:ser>
        <c:dLbls>
          <c:dLblPos val="inEnd"/>
          <c:showLegendKey val="0"/>
          <c:showVal val="1"/>
          <c:showCatName val="0"/>
          <c:showSerName val="0"/>
          <c:showPercent val="0"/>
          <c:showBubbleSize val="0"/>
        </c:dLbls>
        <c:gapWidth val="65"/>
        <c:axId val="508898976"/>
        <c:axId val="384340864"/>
      </c:barChart>
      <c:catAx>
        <c:axId val="508898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Channel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384340864"/>
        <c:crosses val="autoZero"/>
        <c:auto val="1"/>
        <c:lblAlgn val="ctr"/>
        <c:lblOffset val="100"/>
        <c:noMultiLvlLbl val="0"/>
      </c:catAx>
      <c:valAx>
        <c:axId val="3843408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Average</a:t>
                </a:r>
                <a:r>
                  <a:rPr lang="en-US" baseline="0"/>
                  <a:t> CSAT</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0.00" sourceLinked="1"/>
        <c:majorTickMark val="none"/>
        <c:minorTickMark val="none"/>
        <c:tickLblPos val="nextTo"/>
        <c:crossAx val="508898976"/>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[Call-Center-Sentiment-Sample-Data.xlsx]Analysis!SLA Status</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latin typeface="+mn-lt"/>
              </a:rPr>
              <a:t>SLA Status VS Average CSAT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Analysis!$D$21:$D$23</c:f>
              <c:strCache>
                <c:ptCount val="2"/>
                <c:pt idx="0">
                  <c:v>Above SLA</c:v>
                </c:pt>
                <c:pt idx="1">
                  <c:v>Within SLA</c:v>
                </c:pt>
              </c:strCache>
            </c:strRef>
          </c:cat>
          <c:val>
            <c:numRef>
              <c:f>Analysis!$E$21:$E$23</c:f>
              <c:numCache>
                <c:formatCode>0.00</c:formatCode>
                <c:ptCount val="2"/>
                <c:pt idx="0">
                  <c:v>4.5882352941176467</c:v>
                </c:pt>
                <c:pt idx="1">
                  <c:v>5.5660377358490569</c:v>
                </c:pt>
              </c:numCache>
            </c:numRef>
          </c:val>
          <c:extLst>
            <c:ext xmlns:c16="http://schemas.microsoft.com/office/drawing/2014/chart" uri="{C3380CC4-5D6E-409C-BE32-E72D297353CC}">
              <c16:uniqueId val="{00000000-2DF9-4768-8AAE-FBAFA2EE69B3}"/>
            </c:ext>
          </c:extLst>
        </c:ser>
        <c:dLbls>
          <c:dLblPos val="inEnd"/>
          <c:showLegendKey val="0"/>
          <c:showVal val="1"/>
          <c:showCatName val="0"/>
          <c:showSerName val="0"/>
          <c:showPercent val="0"/>
          <c:showBubbleSize val="0"/>
        </c:dLbls>
        <c:gapWidth val="65"/>
        <c:axId val="872595088"/>
        <c:axId val="626089248"/>
      </c:barChart>
      <c:catAx>
        <c:axId val="8725950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latin typeface="+mn-lt"/>
                  </a:rPr>
                  <a:t>SLA Status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626089248"/>
        <c:crosses val="autoZero"/>
        <c:auto val="1"/>
        <c:lblAlgn val="ctr"/>
        <c:lblOffset val="100"/>
        <c:noMultiLvlLbl val="0"/>
      </c:catAx>
      <c:valAx>
        <c:axId val="6260892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latin typeface="+mn-lt"/>
                  </a:rPr>
                  <a:t>Average CSAT &amp; Calls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0.00" sourceLinked="1"/>
        <c:majorTickMark val="none"/>
        <c:minorTickMark val="none"/>
        <c:tickLblPos val="nextTo"/>
        <c:crossAx val="87259508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[Call-Center-Sentiment-Sample-Data.xlsx]Analysis!Call Center Performance</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CSAT by Call Center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spPr>
          <a:solidFill>
            <a:schemeClr val="accent6"/>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9525" cap="flat" cmpd="sng" algn="ctr">
            <a:noFill/>
            <a:round/>
          </a:ln>
          <a:effectLst/>
        </c:spPr>
      </c:pivotFmt>
      <c:pivotFmt>
        <c:idx val="4"/>
        <c:spPr>
          <a:solidFill>
            <a:schemeClr val="accent6"/>
          </a:solidFill>
          <a:ln w="9525" cap="flat" cmpd="sng" algn="ctr">
            <a:noFill/>
            <a:round/>
          </a:ln>
          <a:effectLst/>
        </c:spPr>
      </c:pivotFmt>
      <c:pivotFmt>
        <c:idx val="5"/>
        <c:spPr>
          <a:solidFill>
            <a:schemeClr val="accent6"/>
          </a:solidFill>
          <a:ln w="9525" cap="flat" cmpd="sng" algn="ctr">
            <a:noFill/>
            <a:round/>
          </a:ln>
          <a:effectLst/>
        </c:spPr>
      </c:pivotFmt>
      <c:pivotFmt>
        <c:idx val="6"/>
        <c:spPr>
          <a:solidFill>
            <a:schemeClr val="accent6"/>
          </a:solidFill>
          <a:ln w="9525" cap="flat" cmpd="sng" algn="ctr">
            <a:noFill/>
            <a:round/>
          </a:ln>
          <a:effectLst/>
        </c:spPr>
      </c:pivotFmt>
    </c:pivotFmts>
    <c:plotArea>
      <c:layout/>
      <c:barChart>
        <c:barDir val="bar"/>
        <c:grouping val="clustered"/>
        <c:varyColors val="0"/>
        <c:ser>
          <c:idx val="0"/>
          <c:order val="0"/>
          <c:tx>
            <c:strRef>
              <c:f>Analysis!$B$20</c:f>
              <c:strCache>
                <c:ptCount val="1"/>
                <c:pt idx="0">
                  <c:v>Total</c:v>
                </c:pt>
              </c:strCache>
            </c:strRef>
          </c:tx>
          <c:spPr>
            <a:solidFill>
              <a:schemeClr val="accent6"/>
            </a:solidFill>
            <a:ln w="9525" cap="flat" cmpd="sng" algn="ctr">
              <a:noFill/>
              <a:round/>
            </a:ln>
            <a:effectLst/>
          </c:spPr>
          <c:invertIfNegative val="0"/>
          <c:dPt>
            <c:idx val="0"/>
            <c:invertIfNegative val="0"/>
            <c:bubble3D val="0"/>
            <c:extLst>
              <c:ext xmlns:c16="http://schemas.microsoft.com/office/drawing/2014/chart" uri="{C3380CC4-5D6E-409C-BE32-E72D297353CC}">
                <c16:uniqueId val="{00000003-604C-40EE-A4B0-C1C05584736E}"/>
              </c:ext>
            </c:extLst>
          </c:dPt>
          <c:dPt>
            <c:idx val="1"/>
            <c:invertIfNegative val="0"/>
            <c:bubble3D val="0"/>
            <c:extLst>
              <c:ext xmlns:c16="http://schemas.microsoft.com/office/drawing/2014/chart" uri="{C3380CC4-5D6E-409C-BE32-E72D297353CC}">
                <c16:uniqueId val="{00000002-604C-40EE-A4B0-C1C05584736E}"/>
              </c:ext>
            </c:extLst>
          </c:dPt>
          <c:dPt>
            <c:idx val="2"/>
            <c:invertIfNegative val="0"/>
            <c:bubble3D val="0"/>
            <c:extLst>
              <c:ext xmlns:c16="http://schemas.microsoft.com/office/drawing/2014/chart" uri="{C3380CC4-5D6E-409C-BE32-E72D297353CC}">
                <c16:uniqueId val="{00000000-604C-40EE-A4B0-C1C05584736E}"/>
              </c:ext>
            </c:extLst>
          </c:dPt>
          <c:dPt>
            <c:idx val="3"/>
            <c:invertIfNegative val="0"/>
            <c:bubble3D val="0"/>
            <c:extLst>
              <c:ext xmlns:c16="http://schemas.microsoft.com/office/drawing/2014/chart" uri="{C3380CC4-5D6E-409C-BE32-E72D297353CC}">
                <c16:uniqueId val="{00000001-604C-40EE-A4B0-C1C0558473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Analysis!$A$21:$A$25</c:f>
              <c:strCache>
                <c:ptCount val="4"/>
                <c:pt idx="0">
                  <c:v>Los Angeles/CA</c:v>
                </c:pt>
                <c:pt idx="1">
                  <c:v>Baltimore/MD</c:v>
                </c:pt>
                <c:pt idx="2">
                  <c:v>Chicago/IL</c:v>
                </c:pt>
                <c:pt idx="3">
                  <c:v>Denver/CO</c:v>
                </c:pt>
              </c:strCache>
            </c:strRef>
          </c:cat>
          <c:val>
            <c:numRef>
              <c:f>Analysis!$B$21:$B$25</c:f>
              <c:numCache>
                <c:formatCode>0.00</c:formatCode>
                <c:ptCount val="4"/>
                <c:pt idx="0">
                  <c:v>6</c:v>
                </c:pt>
                <c:pt idx="1">
                  <c:v>5.1481481481481479</c:v>
                </c:pt>
                <c:pt idx="2">
                  <c:v>4.7142857142857144</c:v>
                </c:pt>
                <c:pt idx="3">
                  <c:v>3.5</c:v>
                </c:pt>
              </c:numCache>
            </c:numRef>
          </c:val>
          <c:extLst>
            <c:ext xmlns:c16="http://schemas.microsoft.com/office/drawing/2014/chart" uri="{C3380CC4-5D6E-409C-BE32-E72D297353CC}">
              <c16:uniqueId val="{00000000-EA38-4841-A93F-8D1E30ED3B99}"/>
            </c:ext>
          </c:extLst>
        </c:ser>
        <c:dLbls>
          <c:dLblPos val="inEnd"/>
          <c:showLegendKey val="0"/>
          <c:showVal val="1"/>
          <c:showCatName val="0"/>
          <c:showSerName val="0"/>
          <c:showPercent val="0"/>
          <c:showBubbleSize val="0"/>
        </c:dLbls>
        <c:gapWidth val="65"/>
        <c:axId val="1338643455"/>
        <c:axId val="1348365119"/>
      </c:barChart>
      <c:catAx>
        <c:axId val="13386434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Call Center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1348365119"/>
        <c:crosses val="autoZero"/>
        <c:auto val="1"/>
        <c:lblAlgn val="ctr"/>
        <c:lblOffset val="100"/>
        <c:noMultiLvlLbl val="0"/>
      </c:catAx>
      <c:valAx>
        <c:axId val="13483651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Average CSAT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crossAx val="1338643455"/>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[Call-Center-Sentiment-Sample-Data.xlsx]Visualization!Daily Call Volume</c:name>
    <c:fmtId val="3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Daily Calls Trend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5"/>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5"/>
            </a:solidFill>
            <a:round/>
          </a:ln>
          <a:effectLst/>
        </c:spPr>
        <c:marker>
          <c:symbol val="circle"/>
          <c:size val="17"/>
          <c:spPr>
            <a:solidFill>
              <a:schemeClr val="accent5"/>
            </a:solidFill>
            <a:ln>
              <a:noFill/>
            </a:ln>
            <a:effectLst/>
          </c:spPr>
        </c:marker>
      </c:pivotFmt>
    </c:pivotFmts>
    <c:plotArea>
      <c:layout/>
      <c:lineChart>
        <c:grouping val="standard"/>
        <c:varyColors val="0"/>
        <c:ser>
          <c:idx val="0"/>
          <c:order val="0"/>
          <c:tx>
            <c:strRef>
              <c:f>Visualization!$X$5</c:f>
              <c:strCache>
                <c:ptCount val="1"/>
                <c:pt idx="0">
                  <c:v>Total</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Visualization!$W$6:$W$37</c:f>
              <c:strCache>
                <c:ptCount val="31"/>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Visualization!$X$6:$X$37</c:f>
              <c:numCache>
                <c:formatCode>General</c:formatCode>
                <c:ptCount val="31"/>
                <c:pt idx="0">
                  <c:v>2</c:v>
                </c:pt>
                <c:pt idx="1">
                  <c:v>3</c:v>
                </c:pt>
                <c:pt idx="2">
                  <c:v>2</c:v>
                </c:pt>
                <c:pt idx="3">
                  <c:v>2</c:v>
                </c:pt>
                <c:pt idx="4">
                  <c:v>2</c:v>
                </c:pt>
                <c:pt idx="5">
                  <c:v>2</c:v>
                </c:pt>
                <c:pt idx="6">
                  <c:v>2</c:v>
                </c:pt>
                <c:pt idx="7">
                  <c:v>4</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4</c:v>
                </c:pt>
                <c:pt idx="24">
                  <c:v>2</c:v>
                </c:pt>
                <c:pt idx="25">
                  <c:v>2</c:v>
                </c:pt>
                <c:pt idx="26">
                  <c:v>2</c:v>
                </c:pt>
                <c:pt idx="27">
                  <c:v>2</c:v>
                </c:pt>
                <c:pt idx="28">
                  <c:v>5</c:v>
                </c:pt>
                <c:pt idx="29">
                  <c:v>2</c:v>
                </c:pt>
                <c:pt idx="30">
                  <c:v>2</c:v>
                </c:pt>
              </c:numCache>
            </c:numRef>
          </c:val>
          <c:smooth val="0"/>
          <c:extLst>
            <c:ext xmlns:c16="http://schemas.microsoft.com/office/drawing/2014/chart" uri="{C3380CC4-5D6E-409C-BE32-E72D297353CC}">
              <c16:uniqueId val="{00000000-EDEB-4CC9-A0A7-E12B02D1AB13}"/>
            </c:ext>
          </c:extLst>
        </c:ser>
        <c:dLbls>
          <c:dLblPos val="ctr"/>
          <c:showLegendKey val="0"/>
          <c:showVal val="1"/>
          <c:showCatName val="0"/>
          <c:showSerName val="0"/>
          <c:showPercent val="0"/>
          <c:showBubbleSize val="0"/>
        </c:dLbls>
        <c:marker val="1"/>
        <c:smooth val="0"/>
        <c:axId val="724141695"/>
        <c:axId val="726216655"/>
      </c:lineChart>
      <c:dateAx>
        <c:axId val="724141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Call Timestamp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726216655"/>
        <c:crosses val="autoZero"/>
        <c:auto val="0"/>
        <c:lblOffset val="100"/>
        <c:baseTimeUnit val="days"/>
      </c:dateAx>
      <c:valAx>
        <c:axId val="7262166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Calls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crossAx val="724141695"/>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[Call-Center-Sentiment-Sample-Data.xlsx]Visualization!Calls by State</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Calls by State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spPr>
          <a:solidFill>
            <a:schemeClr val="accent3">
              <a:lumMod val="50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Visualization!$AJ$5</c:f>
              <c:strCache>
                <c:ptCount val="1"/>
                <c:pt idx="0">
                  <c:v>Total</c:v>
                </c:pt>
              </c:strCache>
            </c:strRef>
          </c:tx>
          <c:spPr>
            <a:solidFill>
              <a:schemeClr val="accent3">
                <a:lumMod val="50000"/>
              </a:schemeClr>
            </a:solidFill>
            <a:ln w="9525" cap="flat" cmpd="sng" algn="ctr">
              <a:solidFill>
                <a:schemeClr val="lt1">
                  <a:alpha val="50000"/>
                </a:schemeClr>
              </a:solidFill>
              <a:round/>
            </a:ln>
            <a:effectLst/>
          </c:spPr>
          <c:invertIfNegative val="0"/>
          <c:cat>
            <c:strRef>
              <c:f>Visualization!$AI$6:$AI$35</c:f>
              <c:strCache>
                <c:ptCount val="29"/>
                <c:pt idx="0">
                  <c:v>California</c:v>
                </c:pt>
                <c:pt idx="1">
                  <c:v>Texas</c:v>
                </c:pt>
                <c:pt idx="2">
                  <c:v>Florida</c:v>
                </c:pt>
                <c:pt idx="3">
                  <c:v>Illinois</c:v>
                </c:pt>
                <c:pt idx="4">
                  <c:v>Pennsylvania</c:v>
                </c:pt>
                <c:pt idx="5">
                  <c:v>Minnesota</c:v>
                </c:pt>
                <c:pt idx="6">
                  <c:v>New York</c:v>
                </c:pt>
                <c:pt idx="7">
                  <c:v>Nevada</c:v>
                </c:pt>
                <c:pt idx="8">
                  <c:v>Alabama</c:v>
                </c:pt>
                <c:pt idx="9">
                  <c:v>District of Columbia</c:v>
                </c:pt>
                <c:pt idx="10">
                  <c:v>West Virginia</c:v>
                </c:pt>
                <c:pt idx="11">
                  <c:v>Indiana</c:v>
                </c:pt>
                <c:pt idx="12">
                  <c:v>Arkansas</c:v>
                </c:pt>
                <c:pt idx="13">
                  <c:v>Utah</c:v>
                </c:pt>
                <c:pt idx="14">
                  <c:v>Rhode Island</c:v>
                </c:pt>
                <c:pt idx="15">
                  <c:v>Ohio</c:v>
                </c:pt>
                <c:pt idx="16">
                  <c:v>Arizona</c:v>
                </c:pt>
                <c:pt idx="17">
                  <c:v>Colorado</c:v>
                </c:pt>
                <c:pt idx="18">
                  <c:v>Hawaii</c:v>
                </c:pt>
                <c:pt idx="19">
                  <c:v>Missouri</c:v>
                </c:pt>
                <c:pt idx="20">
                  <c:v>South Carolina</c:v>
                </c:pt>
                <c:pt idx="21">
                  <c:v>Tennessee</c:v>
                </c:pt>
                <c:pt idx="22">
                  <c:v>Georgia</c:v>
                </c:pt>
                <c:pt idx="23">
                  <c:v>Iowa</c:v>
                </c:pt>
                <c:pt idx="24">
                  <c:v>Virginia</c:v>
                </c:pt>
                <c:pt idx="25">
                  <c:v>Kansas</c:v>
                </c:pt>
                <c:pt idx="26">
                  <c:v>Wisconsin</c:v>
                </c:pt>
                <c:pt idx="27">
                  <c:v>Louisiana</c:v>
                </c:pt>
                <c:pt idx="28">
                  <c:v>Michigan</c:v>
                </c:pt>
              </c:strCache>
            </c:strRef>
          </c:cat>
          <c:val>
            <c:numRef>
              <c:f>Visualization!$AJ$6:$AJ$35</c:f>
              <c:numCache>
                <c:formatCode>General</c:formatCode>
                <c:ptCount val="29"/>
                <c:pt idx="0">
                  <c:v>9</c:v>
                </c:pt>
                <c:pt idx="1">
                  <c:v>9</c:v>
                </c:pt>
                <c:pt idx="2">
                  <c:v>7</c:v>
                </c:pt>
                <c:pt idx="3">
                  <c:v>5</c:v>
                </c:pt>
                <c:pt idx="4">
                  <c:v>4</c:v>
                </c:pt>
                <c:pt idx="5">
                  <c:v>4</c:v>
                </c:pt>
                <c:pt idx="6">
                  <c:v>3</c:v>
                </c:pt>
                <c:pt idx="7">
                  <c:v>2</c:v>
                </c:pt>
                <c:pt idx="8">
                  <c:v>2</c:v>
                </c:pt>
                <c:pt idx="9">
                  <c:v>2</c:v>
                </c:pt>
                <c:pt idx="10">
                  <c:v>2</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numCache>
            </c:numRef>
          </c:val>
          <c:extLst>
            <c:ext xmlns:c16="http://schemas.microsoft.com/office/drawing/2014/chart" uri="{C3380CC4-5D6E-409C-BE32-E72D297353CC}">
              <c16:uniqueId val="{00000000-25D9-4C68-9E9F-9B292E671EF6}"/>
            </c:ext>
          </c:extLst>
        </c:ser>
        <c:dLbls>
          <c:showLegendKey val="0"/>
          <c:showVal val="0"/>
          <c:showCatName val="0"/>
          <c:showSerName val="0"/>
          <c:showPercent val="0"/>
          <c:showBubbleSize val="0"/>
        </c:dLbls>
        <c:gapWidth val="65"/>
        <c:axId val="940100655"/>
        <c:axId val="939050687"/>
      </c:barChart>
      <c:catAx>
        <c:axId val="9401006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State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939050687"/>
        <c:crosses val="autoZero"/>
        <c:auto val="1"/>
        <c:lblAlgn val="ctr"/>
        <c:lblOffset val="100"/>
        <c:noMultiLvlLbl val="0"/>
      </c:catAx>
      <c:valAx>
        <c:axId val="9390506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Calls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crossAx val="940100655"/>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[Call-Center-Sentiment-Sample-Data.xlsx]Analysis!SLA Status</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SLA Status VS Average CSAT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pivotFmt>
      <c:pivotFmt>
        <c:idx val="3"/>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cap="flat" cmpd="sng" algn="ctr">
            <a:solidFill>
              <a:schemeClr val="lt1">
                <a:alpha val="50000"/>
              </a:schemeClr>
            </a:solidFill>
            <a:round/>
          </a:ln>
          <a:effectLst/>
        </c:spPr>
      </c:pivotFmt>
      <c:pivotFmt>
        <c:idx val="7"/>
        <c:spPr>
          <a:solidFill>
            <a:schemeClr val="accent1"/>
          </a:solidFill>
          <a:ln w="9525" cap="flat" cmpd="sng" algn="ctr">
            <a:solidFill>
              <a:schemeClr val="lt1">
                <a:alpha val="50000"/>
              </a:schemeClr>
            </a:solidFill>
            <a:round/>
          </a:ln>
          <a:effectLst/>
        </c:spPr>
      </c:pivotFmt>
      <c:pivotFmt>
        <c:idx val="8"/>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Analysis!$E$20</c:f>
              <c:strCache>
                <c:ptCount val="1"/>
                <c:pt idx="0">
                  <c:v>Total</c:v>
                </c:pt>
              </c:strCache>
            </c:strRef>
          </c:tx>
          <c:spPr>
            <a:solidFill>
              <a:schemeClr val="accent1"/>
            </a:solidFill>
            <a:ln w="9525" cap="flat" cmpd="sng" algn="ctr">
              <a:solidFill>
                <a:schemeClr val="lt1">
                  <a:alpha val="50000"/>
                </a:schemeClr>
              </a:solidFill>
              <a:round/>
            </a:ln>
            <a:effectLst/>
          </c:spPr>
          <c:invertIfNegative val="0"/>
          <c:dPt>
            <c:idx val="0"/>
            <c:invertIfNegative val="0"/>
            <c:bubble3D val="0"/>
            <c:spPr>
              <a:solidFill>
                <a:schemeClr val="accent1"/>
              </a:solidFill>
              <a:ln w="9525" cap="flat" cmpd="sng" algn="ctr">
                <a:solidFill>
                  <a:schemeClr val="lt1">
                    <a:alpha val="50000"/>
                  </a:schemeClr>
                </a:solidFill>
                <a:round/>
              </a:ln>
              <a:effectLst/>
            </c:spPr>
            <c:extLst>
              <c:ext xmlns:c16="http://schemas.microsoft.com/office/drawing/2014/chart" uri="{C3380CC4-5D6E-409C-BE32-E72D297353CC}">
                <c16:uniqueId val="{00000001-EACA-40B9-8FDE-67E27E3C4D5B}"/>
              </c:ext>
            </c:extLst>
          </c:dPt>
          <c:dPt>
            <c:idx val="1"/>
            <c:invertIfNegative val="0"/>
            <c:bubble3D val="0"/>
            <c:spPr>
              <a:solidFill>
                <a:schemeClr val="accent1"/>
              </a:solidFill>
              <a:ln w="9525" cap="flat" cmpd="sng" algn="ctr">
                <a:solidFill>
                  <a:schemeClr val="lt1">
                    <a:alpha val="50000"/>
                  </a:schemeClr>
                </a:solidFill>
                <a:round/>
              </a:ln>
              <a:effectLst/>
            </c:spPr>
            <c:extLst>
              <c:ext xmlns:c16="http://schemas.microsoft.com/office/drawing/2014/chart" uri="{C3380CC4-5D6E-409C-BE32-E72D297353CC}">
                <c16:uniqueId val="{00000000-EACA-40B9-8FDE-67E27E3C4D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Analysis!$D$21:$D$23</c:f>
              <c:strCache>
                <c:ptCount val="2"/>
                <c:pt idx="0">
                  <c:v>Above SLA</c:v>
                </c:pt>
                <c:pt idx="1">
                  <c:v>Within SLA</c:v>
                </c:pt>
              </c:strCache>
            </c:strRef>
          </c:cat>
          <c:val>
            <c:numRef>
              <c:f>Analysis!$E$21:$E$23</c:f>
              <c:numCache>
                <c:formatCode>0.00</c:formatCode>
                <c:ptCount val="2"/>
                <c:pt idx="0">
                  <c:v>4.5882352941176467</c:v>
                </c:pt>
                <c:pt idx="1">
                  <c:v>5.5660377358490569</c:v>
                </c:pt>
              </c:numCache>
            </c:numRef>
          </c:val>
          <c:extLst>
            <c:ext xmlns:c16="http://schemas.microsoft.com/office/drawing/2014/chart" uri="{C3380CC4-5D6E-409C-BE32-E72D297353CC}">
              <c16:uniqueId val="{00000000-759A-4966-9837-2338E801CC0C}"/>
            </c:ext>
          </c:extLst>
        </c:ser>
        <c:dLbls>
          <c:dLblPos val="inEnd"/>
          <c:showLegendKey val="0"/>
          <c:showVal val="1"/>
          <c:showCatName val="0"/>
          <c:showSerName val="0"/>
          <c:showPercent val="0"/>
          <c:showBubbleSize val="0"/>
        </c:dLbls>
        <c:gapWidth val="65"/>
        <c:axId val="872595088"/>
        <c:axId val="626089248"/>
      </c:barChart>
      <c:catAx>
        <c:axId val="8725950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SLA Status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626089248"/>
        <c:crosses val="autoZero"/>
        <c:auto val="1"/>
        <c:lblAlgn val="ctr"/>
        <c:lblOffset val="100"/>
        <c:noMultiLvlLbl val="0"/>
      </c:catAx>
      <c:valAx>
        <c:axId val="6260892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Average CSAT &amp; Calls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0.00" sourceLinked="1"/>
        <c:majorTickMark val="none"/>
        <c:minorTickMark val="none"/>
        <c:tickLblPos val="nextTo"/>
        <c:crossAx val="87259508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[Call-Center-Sentiment-Sample-Data.xlsx]Analysis!Sentiment Group</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Sentiment Group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pivotFmt>
      <c:pivotFmt>
        <c:idx val="3"/>
      </c:pivotFmt>
      <c:pivotFmt>
        <c:idx val="4"/>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pivotFmt>
      <c:pivotFmt>
        <c:idx val="1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outerShdw blurRad="254000" sx="102000" sy="102000" algn="ctr" rotWithShape="0">
              <a:prstClr val="black">
                <a:alpha val="20000"/>
              </a:prstClr>
            </a:outerShdw>
          </a:effectLst>
        </c:spPr>
      </c:pivotFmt>
      <c:pivotFmt>
        <c:idx val="15"/>
        <c:spPr>
          <a:solidFill>
            <a:schemeClr val="accent6"/>
          </a:solidFill>
          <a:ln>
            <a:noFill/>
          </a:ln>
          <a:effectLst>
            <a:outerShdw blurRad="254000" sx="102000" sy="102000" algn="ctr" rotWithShape="0">
              <a:prstClr val="black">
                <a:alpha val="20000"/>
              </a:prstClr>
            </a:outerShdw>
          </a:effectLst>
        </c:spPr>
      </c:pivotFmt>
      <c:pivotFmt>
        <c:idx val="16"/>
        <c:spPr>
          <a:solidFill>
            <a:schemeClr val="accent6"/>
          </a:solidFill>
          <a:ln>
            <a:noFill/>
          </a:ln>
          <a:effectLst>
            <a:outerShdw blurRad="254000" sx="102000" sy="102000" algn="ctr" rotWithShape="0">
              <a:prstClr val="black">
                <a:alpha val="20000"/>
              </a:prstClr>
            </a:outerShdw>
          </a:effectLst>
        </c:spPr>
      </c:pivotFmt>
      <c:pivotFmt>
        <c:idx val="1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6"/>
          </a:solidFill>
          <a:ln>
            <a:noFill/>
          </a:ln>
          <a:effectLst>
            <a:outerShdw blurRad="254000" sx="102000" sy="102000" algn="ctr" rotWithShape="0">
              <a:prstClr val="black">
                <a:alpha val="20000"/>
              </a:prstClr>
            </a:outerShdw>
          </a:effectLst>
        </c:spPr>
      </c:pivotFmt>
      <c:pivotFmt>
        <c:idx val="19"/>
        <c:spPr>
          <a:solidFill>
            <a:schemeClr val="accent6"/>
          </a:solidFill>
          <a:ln>
            <a:noFill/>
          </a:ln>
          <a:effectLst>
            <a:outerShdw blurRad="254000" sx="102000" sy="102000" algn="ctr" rotWithShape="0">
              <a:prstClr val="black">
                <a:alpha val="20000"/>
              </a:prstClr>
            </a:outerShdw>
          </a:effectLst>
        </c:spPr>
      </c:pivotFmt>
      <c:pivotFmt>
        <c:idx val="20"/>
        <c:spPr>
          <a:solidFill>
            <a:schemeClr val="accent6"/>
          </a:solidFill>
          <a:ln>
            <a:noFill/>
          </a:ln>
          <a:effectLst>
            <a:outerShdw blurRad="254000" sx="102000" sy="102000" algn="ctr" rotWithShape="0">
              <a:prstClr val="black">
                <a:alpha val="20000"/>
              </a:prstClr>
            </a:outerShdw>
          </a:effectLst>
        </c:spPr>
      </c:pivotFmt>
      <c:pivotFmt>
        <c:idx val="2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6"/>
          </a:solidFill>
          <a:ln>
            <a:noFill/>
          </a:ln>
          <a:effectLst>
            <a:outerShdw blurRad="254000" sx="102000" sy="102000" algn="ctr" rotWithShape="0">
              <a:prstClr val="black">
                <a:alpha val="20000"/>
              </a:prstClr>
            </a:outerShdw>
          </a:effectLst>
        </c:spPr>
      </c:pivotFmt>
      <c:pivotFmt>
        <c:idx val="23"/>
        <c:spPr>
          <a:solidFill>
            <a:schemeClr val="accent6"/>
          </a:solidFill>
          <a:ln>
            <a:noFill/>
          </a:ln>
          <a:effectLst>
            <a:outerShdw blurRad="254000" sx="102000" sy="102000" algn="ctr" rotWithShape="0">
              <a:prstClr val="black">
                <a:alpha val="20000"/>
              </a:prstClr>
            </a:outerShdw>
          </a:effectLst>
        </c:spPr>
      </c:pivotFmt>
      <c:pivotFmt>
        <c:idx val="24"/>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Analysis!$B$6</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43-40C4-B1C5-D6A1765FEEC2}"/>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43-40C4-B1C5-D6A1765FEEC2}"/>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D43-40C4-B1C5-D6A1765FEEC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Analysis!$A$7:$A$10</c:f>
              <c:strCache>
                <c:ptCount val="3"/>
                <c:pt idx="0">
                  <c:v>Negative</c:v>
                </c:pt>
                <c:pt idx="1">
                  <c:v>Neutral</c:v>
                </c:pt>
                <c:pt idx="2">
                  <c:v>Positive</c:v>
                </c:pt>
              </c:strCache>
            </c:strRef>
          </c:cat>
          <c:val>
            <c:numRef>
              <c:f>Analysis!$B$7:$B$10</c:f>
              <c:numCache>
                <c:formatCode>General</c:formatCode>
                <c:ptCount val="3"/>
                <c:pt idx="0">
                  <c:v>44</c:v>
                </c:pt>
                <c:pt idx="1">
                  <c:v>9</c:v>
                </c:pt>
                <c:pt idx="2">
                  <c:v>17</c:v>
                </c:pt>
              </c:numCache>
            </c:numRef>
          </c:val>
          <c:extLst>
            <c:ext xmlns:c16="http://schemas.microsoft.com/office/drawing/2014/chart" uri="{C3380CC4-5D6E-409C-BE32-E72D297353CC}">
              <c16:uniqueId val="{00000006-DD43-40C4-B1C5-D6A1765FEEC2}"/>
            </c:ext>
          </c:extLst>
        </c:ser>
        <c:dLbls>
          <c:showLegendKey val="0"/>
          <c:showVal val="0"/>
          <c:showCatName val="0"/>
          <c:showSerName val="0"/>
          <c:showPercent val="1"/>
          <c:showBubbleSize val="0"/>
          <c:showLeaderLines val="1"/>
        </c:dLbls>
        <c:firstSliceAng val="0"/>
        <c:holeSize val="50"/>
      </c:doughnutChart>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[Call-Center-Sentiment-Sample-Data.xlsx]Analysis!Average CSAT by Channel</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CSAT by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chemeClr val="accent4"/>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Analysis!$A$13:$A$17</c:f>
              <c:strCache>
                <c:ptCount val="4"/>
                <c:pt idx="0">
                  <c:v>Call-Center</c:v>
                </c:pt>
                <c:pt idx="1">
                  <c:v>Email</c:v>
                </c:pt>
                <c:pt idx="2">
                  <c:v>Web</c:v>
                </c:pt>
                <c:pt idx="3">
                  <c:v>Chatbot</c:v>
                </c:pt>
              </c:strCache>
            </c:strRef>
          </c:cat>
          <c:val>
            <c:numRef>
              <c:f>Analysis!$B$13:$B$17</c:f>
              <c:numCache>
                <c:formatCode>0.00</c:formatCode>
                <c:ptCount val="4"/>
                <c:pt idx="0">
                  <c:v>5.6956521739130439</c:v>
                </c:pt>
                <c:pt idx="1">
                  <c:v>5.5</c:v>
                </c:pt>
                <c:pt idx="2">
                  <c:v>5.4117647058823533</c:v>
                </c:pt>
                <c:pt idx="3">
                  <c:v>4.8181818181818183</c:v>
                </c:pt>
              </c:numCache>
            </c:numRef>
          </c:val>
          <c:extLst>
            <c:ext xmlns:c16="http://schemas.microsoft.com/office/drawing/2014/chart" uri="{C3380CC4-5D6E-409C-BE32-E72D297353CC}">
              <c16:uniqueId val="{00000000-DE39-4078-905F-8775E78C3B5A}"/>
            </c:ext>
          </c:extLst>
        </c:ser>
        <c:dLbls>
          <c:dLblPos val="inEnd"/>
          <c:showLegendKey val="0"/>
          <c:showVal val="1"/>
          <c:showCatName val="0"/>
          <c:showSerName val="0"/>
          <c:showPercent val="0"/>
          <c:showBubbleSize val="0"/>
        </c:dLbls>
        <c:gapWidth val="65"/>
        <c:axId val="508898976"/>
        <c:axId val="384340864"/>
      </c:barChart>
      <c:catAx>
        <c:axId val="508898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Channel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384340864"/>
        <c:crosses val="autoZero"/>
        <c:auto val="1"/>
        <c:lblAlgn val="ctr"/>
        <c:lblOffset val="100"/>
        <c:noMultiLvlLbl val="0"/>
      </c:catAx>
      <c:valAx>
        <c:axId val="3843408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Average</a:t>
                </a:r>
                <a:r>
                  <a:rPr lang="en-US" baseline="0"/>
                  <a:t> CSAT</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0.00" sourceLinked="1"/>
        <c:majorTickMark val="none"/>
        <c:minorTickMark val="none"/>
        <c:tickLblPos val="nextTo"/>
        <c:crossAx val="508898976"/>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[Call-Center-Sentiment-Sample-Data.xlsx]Analysis!Calls &amp; CSAT by Reason</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Calls by Reason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pivotFmt>
      <c:pivotFmt>
        <c:idx val="1"/>
      </c:pivotFmt>
      <c:pivotFmt>
        <c:idx val="2"/>
      </c:pivotFmt>
      <c:pivotFmt>
        <c:idx val="3"/>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Analysis!$E$6</c:f>
              <c:strCache>
                <c:ptCount val="1"/>
                <c:pt idx="0">
                  <c:v>Total</c:v>
                </c:pt>
              </c:strCache>
            </c:strRef>
          </c:tx>
          <c:spPr>
            <a:solidFill>
              <a:schemeClr val="accent5">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Analysis!$D$7:$D$10</c:f>
              <c:strCache>
                <c:ptCount val="3"/>
                <c:pt idx="0">
                  <c:v>Service Outage</c:v>
                </c:pt>
                <c:pt idx="1">
                  <c:v>Payments</c:v>
                </c:pt>
                <c:pt idx="2">
                  <c:v>Billing Question</c:v>
                </c:pt>
              </c:strCache>
            </c:strRef>
          </c:cat>
          <c:val>
            <c:numRef>
              <c:f>Analysis!$E$7:$E$10</c:f>
              <c:numCache>
                <c:formatCode>0</c:formatCode>
                <c:ptCount val="3"/>
                <c:pt idx="0">
                  <c:v>8</c:v>
                </c:pt>
                <c:pt idx="1">
                  <c:v>12</c:v>
                </c:pt>
                <c:pt idx="2">
                  <c:v>50</c:v>
                </c:pt>
              </c:numCache>
            </c:numRef>
          </c:val>
          <c:extLst>
            <c:ext xmlns:c16="http://schemas.microsoft.com/office/drawing/2014/chart" uri="{C3380CC4-5D6E-409C-BE32-E72D297353CC}">
              <c16:uniqueId val="{00000000-5FFC-490F-97BE-6BEFF228E7CB}"/>
            </c:ext>
          </c:extLst>
        </c:ser>
        <c:dLbls>
          <c:dLblPos val="inEnd"/>
          <c:showLegendKey val="0"/>
          <c:showVal val="1"/>
          <c:showCatName val="0"/>
          <c:showSerName val="0"/>
          <c:showPercent val="0"/>
          <c:showBubbleSize val="0"/>
        </c:dLbls>
        <c:gapWidth val="65"/>
        <c:axId val="1335666991"/>
        <c:axId val="840955455"/>
      </c:barChart>
      <c:catAx>
        <c:axId val="133566699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Reason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840955455"/>
        <c:crosses val="autoZero"/>
        <c:auto val="1"/>
        <c:lblAlgn val="ctr"/>
        <c:lblOffset val="100"/>
        <c:noMultiLvlLbl val="0"/>
      </c:catAx>
      <c:valAx>
        <c:axId val="8409554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Calls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crossAx val="1335666991"/>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11.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15.xml"/><Relationship Id="rId2" Type="http://schemas.openxmlformats.org/officeDocument/2006/relationships/chart" Target="../charts/chart10.xml"/><Relationship Id="rId16" Type="http://schemas.openxmlformats.org/officeDocument/2006/relationships/chart" Target="../charts/chart14.xml"/><Relationship Id="rId1" Type="http://schemas.openxmlformats.org/officeDocument/2006/relationships/chart" Target="../charts/chart9.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13.xml"/><Relationship Id="rId10" Type="http://schemas.openxmlformats.org/officeDocument/2006/relationships/image" Target="../media/image6.svg"/><Relationship Id="rId4" Type="http://schemas.openxmlformats.org/officeDocument/2006/relationships/chart" Target="../charts/chart12.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25400</xdr:colOff>
      <xdr:row>4</xdr:row>
      <xdr:rowOff>11759</xdr:rowOff>
    </xdr:from>
    <xdr:to>
      <xdr:col>8</xdr:col>
      <xdr:colOff>558800</xdr:colOff>
      <xdr:row>16</xdr:row>
      <xdr:rowOff>170509</xdr:rowOff>
    </xdr:to>
    <xdr:graphicFrame macro="">
      <xdr:nvGraphicFramePr>
        <xdr:cNvPr id="2" name="Chart 1">
          <a:extLst>
            <a:ext uri="{FF2B5EF4-FFF2-40B4-BE49-F238E27FC236}">
              <a16:creationId xmlns:a16="http://schemas.microsoft.com/office/drawing/2014/main" id="{D1A52C34-E345-48DB-BAC7-6D43EF7CA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2302</xdr:colOff>
      <xdr:row>3</xdr:row>
      <xdr:rowOff>177573</xdr:rowOff>
    </xdr:from>
    <xdr:to>
      <xdr:col>19</xdr:col>
      <xdr:colOff>185957</xdr:colOff>
      <xdr:row>17</xdr:row>
      <xdr:rowOff>20411</xdr:rowOff>
    </xdr:to>
    <xdr:graphicFrame macro="">
      <xdr:nvGraphicFramePr>
        <xdr:cNvPr id="3" name="Chart 2">
          <a:extLst>
            <a:ext uri="{FF2B5EF4-FFF2-40B4-BE49-F238E27FC236}">
              <a16:creationId xmlns:a16="http://schemas.microsoft.com/office/drawing/2014/main" id="{1C472365-2960-4C10-A404-DB4AA941D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31</xdr:row>
      <xdr:rowOff>0</xdr:rowOff>
    </xdr:from>
    <xdr:to>
      <xdr:col>8</xdr:col>
      <xdr:colOff>590550</xdr:colOff>
      <xdr:row>42</xdr:row>
      <xdr:rowOff>171450</xdr:rowOff>
    </xdr:to>
    <xdr:graphicFrame macro="">
      <xdr:nvGraphicFramePr>
        <xdr:cNvPr id="5" name="Chart 4">
          <a:extLst>
            <a:ext uri="{FF2B5EF4-FFF2-40B4-BE49-F238E27FC236}">
              <a16:creationId xmlns:a16="http://schemas.microsoft.com/office/drawing/2014/main" id="{20EFF76A-C842-4B41-A16E-AC787FB94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22784</xdr:colOff>
      <xdr:row>3</xdr:row>
      <xdr:rowOff>176622</xdr:rowOff>
    </xdr:from>
    <xdr:to>
      <xdr:col>33</xdr:col>
      <xdr:colOff>32366</xdr:colOff>
      <xdr:row>18</xdr:row>
      <xdr:rowOff>170338</xdr:rowOff>
    </xdr:to>
    <xdr:graphicFrame macro="">
      <xdr:nvGraphicFramePr>
        <xdr:cNvPr id="7" name="Chart 6">
          <a:extLst>
            <a:ext uri="{FF2B5EF4-FFF2-40B4-BE49-F238E27FC236}">
              <a16:creationId xmlns:a16="http://schemas.microsoft.com/office/drawing/2014/main" id="{30768C3E-A993-4DEE-B88E-992B970D8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15649</xdr:colOff>
      <xdr:row>30</xdr:row>
      <xdr:rowOff>184588</xdr:rowOff>
    </xdr:from>
    <xdr:to>
      <xdr:col>21</xdr:col>
      <xdr:colOff>265546</xdr:colOff>
      <xdr:row>44</xdr:row>
      <xdr:rowOff>38114</xdr:rowOff>
    </xdr:to>
    <xdr:graphicFrame macro="">
      <xdr:nvGraphicFramePr>
        <xdr:cNvPr id="8" name="Chart 7">
          <a:extLst>
            <a:ext uri="{FF2B5EF4-FFF2-40B4-BE49-F238E27FC236}">
              <a16:creationId xmlns:a16="http://schemas.microsoft.com/office/drawing/2014/main" id="{899E385E-1B6C-41F3-9369-19E9FFC40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11757</xdr:colOff>
      <xdr:row>3</xdr:row>
      <xdr:rowOff>179023</xdr:rowOff>
    </xdr:from>
    <xdr:to>
      <xdr:col>44</xdr:col>
      <xdr:colOff>28222</xdr:colOff>
      <xdr:row>18</xdr:row>
      <xdr:rowOff>96068</xdr:rowOff>
    </xdr:to>
    <xdr:graphicFrame macro="">
      <xdr:nvGraphicFramePr>
        <xdr:cNvPr id="9" name="Chart 8">
          <a:extLst>
            <a:ext uri="{FF2B5EF4-FFF2-40B4-BE49-F238E27FC236}">
              <a16:creationId xmlns:a16="http://schemas.microsoft.com/office/drawing/2014/main" id="{B119D2D2-DFED-42FB-9048-DE464AED8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15975</xdr:colOff>
      <xdr:row>17</xdr:row>
      <xdr:rowOff>168655</xdr:rowOff>
    </xdr:from>
    <xdr:to>
      <xdr:col>8</xdr:col>
      <xdr:colOff>554519</xdr:colOff>
      <xdr:row>30</xdr:row>
      <xdr:rowOff>76806</xdr:rowOff>
    </xdr:to>
    <xdr:graphicFrame macro="">
      <xdr:nvGraphicFramePr>
        <xdr:cNvPr id="10" name="Chart 9">
          <a:extLst>
            <a:ext uri="{FF2B5EF4-FFF2-40B4-BE49-F238E27FC236}">
              <a16:creationId xmlns:a16="http://schemas.microsoft.com/office/drawing/2014/main" id="{E0A1E01B-476C-484F-B713-CD60783B3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8037</xdr:colOff>
      <xdr:row>17</xdr:row>
      <xdr:rowOff>176836</xdr:rowOff>
    </xdr:from>
    <xdr:to>
      <xdr:col>19</xdr:col>
      <xdr:colOff>233101</xdr:colOff>
      <xdr:row>30</xdr:row>
      <xdr:rowOff>112531</xdr:rowOff>
    </xdr:to>
    <xdr:graphicFrame macro="">
      <xdr:nvGraphicFramePr>
        <xdr:cNvPr id="11" name="Chart 10">
          <a:extLst>
            <a:ext uri="{FF2B5EF4-FFF2-40B4-BE49-F238E27FC236}">
              <a16:creationId xmlns:a16="http://schemas.microsoft.com/office/drawing/2014/main" id="{9E0D46FA-934E-4665-86EC-782FBEE06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256897</xdr:colOff>
      <xdr:row>26</xdr:row>
      <xdr:rowOff>31935</xdr:rowOff>
    </xdr:from>
    <xdr:to>
      <xdr:col>15</xdr:col>
      <xdr:colOff>209559</xdr:colOff>
      <xdr:row>42</xdr:row>
      <xdr:rowOff>98839</xdr:rowOff>
    </xdr:to>
    <xdr:graphicFrame macro="">
      <xdr:nvGraphicFramePr>
        <xdr:cNvPr id="11" name="Chart 10">
          <a:extLst>
            <a:ext uri="{FF2B5EF4-FFF2-40B4-BE49-F238E27FC236}">
              <a16:creationId xmlns:a16="http://schemas.microsoft.com/office/drawing/2014/main" id="{520F1138-453D-4744-9AF7-53BC34E49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xdr:colOff>
      <xdr:row>5</xdr:row>
      <xdr:rowOff>34343</xdr:rowOff>
    </xdr:from>
    <xdr:to>
      <xdr:col>1</xdr:col>
      <xdr:colOff>1196529</xdr:colOff>
      <xdr:row>13</xdr:row>
      <xdr:rowOff>141384</xdr:rowOff>
    </xdr:to>
    <mc:AlternateContent xmlns:mc="http://schemas.openxmlformats.org/markup-compatibility/2006" xmlns:a14="http://schemas.microsoft.com/office/drawing/2010/main">
      <mc:Choice Requires="a14">
        <xdr:graphicFrame macro="">
          <xdr:nvGraphicFramePr>
            <xdr:cNvPr id="21" name="Sentiment Group">
              <a:extLst>
                <a:ext uri="{FF2B5EF4-FFF2-40B4-BE49-F238E27FC236}">
                  <a16:creationId xmlns:a16="http://schemas.microsoft.com/office/drawing/2014/main" id="{0736F847-811D-42F7-A969-D075DDD88CA8}"/>
                </a:ext>
              </a:extLst>
            </xdr:cNvPr>
            <xdr:cNvGraphicFramePr/>
          </xdr:nvGraphicFramePr>
          <xdr:xfrm>
            <a:off x="0" y="0"/>
            <a:ext cx="0" cy="0"/>
          </xdr:xfrm>
          <a:graphic>
            <a:graphicData uri="http://schemas.microsoft.com/office/drawing/2010/slicer">
              <sle:slicer xmlns:sle="http://schemas.microsoft.com/office/drawing/2010/slicer" name="Sentiment Group"/>
            </a:graphicData>
          </a:graphic>
        </xdr:graphicFrame>
      </mc:Choice>
      <mc:Fallback xmlns="">
        <xdr:sp macro="" textlink="">
          <xdr:nvSpPr>
            <xdr:cNvPr id="0" name=""/>
            <xdr:cNvSpPr>
              <a:spLocks noTextEdit="1"/>
            </xdr:cNvSpPr>
          </xdr:nvSpPr>
          <xdr:spPr>
            <a:xfrm>
              <a:off x="2" y="968167"/>
              <a:ext cx="1814549" cy="160115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114124</xdr:rowOff>
    </xdr:from>
    <xdr:to>
      <xdr:col>1</xdr:col>
      <xdr:colOff>1194443</xdr:colOff>
      <xdr:row>35</xdr:row>
      <xdr:rowOff>78288</xdr:rowOff>
    </xdr:to>
    <mc:AlternateContent xmlns:mc="http://schemas.openxmlformats.org/markup-compatibility/2006" xmlns:a14="http://schemas.microsoft.com/office/drawing/2010/main">
      <mc:Choice Requires="a14">
        <xdr:graphicFrame macro="">
          <xdr:nvGraphicFramePr>
            <xdr:cNvPr id="23" name="Reason">
              <a:extLst>
                <a:ext uri="{FF2B5EF4-FFF2-40B4-BE49-F238E27FC236}">
                  <a16:creationId xmlns:a16="http://schemas.microsoft.com/office/drawing/2014/main" id="{A64F4C06-21C6-4FA4-A072-3260BA2A52D5}"/>
                </a:ext>
              </a:extLst>
            </xdr:cNvPr>
            <xdr:cNvGraphicFramePr/>
          </xdr:nvGraphicFramePr>
          <xdr:xfrm>
            <a:off x="0" y="0"/>
            <a:ext cx="0" cy="0"/>
          </xdr:xfrm>
          <a:graphic>
            <a:graphicData uri="http://schemas.microsoft.com/office/drawing/2010/slicer">
              <sle:slicer xmlns:sle="http://schemas.microsoft.com/office/drawing/2010/slicer" name="Reason"/>
            </a:graphicData>
          </a:graphic>
        </xdr:graphicFrame>
      </mc:Choice>
      <mc:Fallback xmlns="">
        <xdr:sp macro="" textlink="">
          <xdr:nvSpPr>
            <xdr:cNvPr id="0" name=""/>
            <xdr:cNvSpPr>
              <a:spLocks noTextEdit="1"/>
            </xdr:cNvSpPr>
          </xdr:nvSpPr>
          <xdr:spPr>
            <a:xfrm>
              <a:off x="0" y="5156771"/>
              <a:ext cx="1812465" cy="145828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87703</xdr:rowOff>
    </xdr:from>
    <xdr:to>
      <xdr:col>1</xdr:col>
      <xdr:colOff>1186506</xdr:colOff>
      <xdr:row>44</xdr:row>
      <xdr:rowOff>120480</xdr:rowOff>
    </xdr:to>
    <mc:AlternateContent xmlns:mc="http://schemas.openxmlformats.org/markup-compatibility/2006" xmlns:a14="http://schemas.microsoft.com/office/drawing/2010/main">
      <mc:Choice Requires="a14">
        <xdr:graphicFrame macro="">
          <xdr:nvGraphicFramePr>
            <xdr:cNvPr id="24" name="Call Center">
              <a:extLst>
                <a:ext uri="{FF2B5EF4-FFF2-40B4-BE49-F238E27FC236}">
                  <a16:creationId xmlns:a16="http://schemas.microsoft.com/office/drawing/2014/main" id="{DE9386C6-6D3E-4D97-8318-9FD102EAA415}"/>
                </a:ext>
              </a:extLst>
            </xdr:cNvPr>
            <xdr:cNvGraphicFramePr/>
          </xdr:nvGraphicFramePr>
          <xdr:xfrm>
            <a:off x="0" y="0"/>
            <a:ext cx="0" cy="0"/>
          </xdr:xfrm>
          <a:graphic>
            <a:graphicData uri="http://schemas.microsoft.com/office/drawing/2010/slicer">
              <sle:slicer xmlns:sle="http://schemas.microsoft.com/office/drawing/2010/slicer" name="Call Center"/>
            </a:graphicData>
          </a:graphic>
        </xdr:graphicFrame>
      </mc:Choice>
      <mc:Fallback xmlns="">
        <xdr:sp macro="" textlink="">
          <xdr:nvSpPr>
            <xdr:cNvPr id="0" name=""/>
            <xdr:cNvSpPr>
              <a:spLocks noTextEdit="1"/>
            </xdr:cNvSpPr>
          </xdr:nvSpPr>
          <xdr:spPr>
            <a:xfrm>
              <a:off x="0" y="6624468"/>
              <a:ext cx="1804528" cy="171365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133059</xdr:rowOff>
    </xdr:from>
    <xdr:to>
      <xdr:col>1</xdr:col>
      <xdr:colOff>1191798</xdr:colOff>
      <xdr:row>27</xdr:row>
      <xdr:rowOff>104384</xdr:rowOff>
    </xdr:to>
    <mc:AlternateContent xmlns:mc="http://schemas.openxmlformats.org/markup-compatibility/2006" xmlns:a14="http://schemas.microsoft.com/office/drawing/2010/main">
      <mc:Choice Requires="a14">
        <xdr:graphicFrame macro="">
          <xdr:nvGraphicFramePr>
            <xdr:cNvPr id="25" name="SLA Status">
              <a:extLst>
                <a:ext uri="{FF2B5EF4-FFF2-40B4-BE49-F238E27FC236}">
                  <a16:creationId xmlns:a16="http://schemas.microsoft.com/office/drawing/2014/main" id="{99FEFF21-0E73-4C13-9DF7-B722B894A290}"/>
                </a:ext>
              </a:extLst>
            </xdr:cNvPr>
            <xdr:cNvGraphicFramePr/>
          </xdr:nvGraphicFramePr>
          <xdr:xfrm>
            <a:off x="0" y="0"/>
            <a:ext cx="0" cy="0"/>
          </xdr:xfrm>
          <a:graphic>
            <a:graphicData uri="http://schemas.microsoft.com/office/drawing/2010/slicer">
              <sle:slicer xmlns:sle="http://schemas.microsoft.com/office/drawing/2010/slicer" name="SLA Status"/>
            </a:graphicData>
          </a:graphic>
        </xdr:graphicFrame>
      </mc:Choice>
      <mc:Fallback xmlns="">
        <xdr:sp macro="" textlink="">
          <xdr:nvSpPr>
            <xdr:cNvPr id="0" name=""/>
            <xdr:cNvSpPr>
              <a:spLocks noTextEdit="1"/>
            </xdr:cNvSpPr>
          </xdr:nvSpPr>
          <xdr:spPr>
            <a:xfrm>
              <a:off x="0" y="4055118"/>
              <a:ext cx="1809820" cy="109191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198206</xdr:colOff>
      <xdr:row>26</xdr:row>
      <xdr:rowOff>51545</xdr:rowOff>
    </xdr:from>
    <xdr:to>
      <xdr:col>24</xdr:col>
      <xdr:colOff>0</xdr:colOff>
      <xdr:row>42</xdr:row>
      <xdr:rowOff>105833</xdr:rowOff>
    </xdr:to>
    <xdr:graphicFrame macro="">
      <xdr:nvGraphicFramePr>
        <xdr:cNvPr id="13" name="Chart 12">
          <a:extLst>
            <a:ext uri="{FF2B5EF4-FFF2-40B4-BE49-F238E27FC236}">
              <a16:creationId xmlns:a16="http://schemas.microsoft.com/office/drawing/2014/main" id="{D9E4C3FE-6716-4977-A6DC-F7939EBD7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1288143</xdr:colOff>
      <xdr:row>42</xdr:row>
      <xdr:rowOff>102042</xdr:rowOff>
    </xdr:from>
    <xdr:to>
      <xdr:col>8</xdr:col>
      <xdr:colOff>254983</xdr:colOff>
      <xdr:row>59</xdr:row>
      <xdr:rowOff>173119</xdr:rowOff>
    </xdr:to>
    <xdr:graphicFrame macro="">
      <xdr:nvGraphicFramePr>
        <xdr:cNvPr id="14" name="Chart 13">
          <a:extLst>
            <a:ext uri="{FF2B5EF4-FFF2-40B4-BE49-F238E27FC236}">
              <a16:creationId xmlns:a16="http://schemas.microsoft.com/office/drawing/2014/main" id="{CAF7E1C8-540F-41F6-8A23-0AB8D0B9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201083</xdr:colOff>
      <xdr:row>44</xdr:row>
      <xdr:rowOff>92836</xdr:rowOff>
    </xdr:from>
    <xdr:to>
      <xdr:col>23</xdr:col>
      <xdr:colOff>504151</xdr:colOff>
      <xdr:row>60</xdr:row>
      <xdr:rowOff>7056</xdr:rowOff>
    </xdr:to>
    <xdr:sp macro="" textlink="">
      <xdr:nvSpPr>
        <xdr:cNvPr id="3" name="TextBox 2">
          <a:extLst>
            <a:ext uri="{FF2B5EF4-FFF2-40B4-BE49-F238E27FC236}">
              <a16:creationId xmlns:a16="http://schemas.microsoft.com/office/drawing/2014/main" id="{1EAD8C44-D7BF-4FC4-8D30-0CFD60B2B81C}"/>
            </a:ext>
          </a:extLst>
        </xdr:cNvPr>
        <xdr:cNvSpPr txBox="1"/>
      </xdr:nvSpPr>
      <xdr:spPr>
        <a:xfrm>
          <a:off x="9345083" y="8220836"/>
          <a:ext cx="6751846" cy="2877553"/>
        </a:xfrm>
        <a:prstGeom prst="rect">
          <a:avLst/>
        </a:prstGeom>
        <a:solidFill>
          <a:schemeClr val="accent5">
            <a:lumMod val="20000"/>
            <a:lumOff val="80000"/>
          </a:schemeClr>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Bookman Old Style" panose="02050604050505020204" pitchFamily="18" charset="0"/>
            </a:rPr>
            <a:t>44 of 70 calls </a:t>
          </a:r>
          <a:r>
            <a:rPr lang="en-US" sz="1200" b="1">
              <a:latin typeface="Bookman Old Style" panose="02050604050505020204" pitchFamily="18" charset="0"/>
            </a:rPr>
            <a:t>(62.9%) </a:t>
          </a:r>
          <a:r>
            <a:rPr lang="en-US" sz="1200">
              <a:latin typeface="Bookman Old Style" panose="02050604050505020204" pitchFamily="18" charset="0"/>
            </a:rPr>
            <a:t>are Negative or Very Negative. Prioritize root-cause analysis and follow-up for dissatisfied customers</a:t>
          </a:r>
          <a:br>
            <a:rPr lang="en-US" sz="1200">
              <a:latin typeface="Bookman Old Style" panose="02050604050505020204" pitchFamily="18" charset="0"/>
            </a:rPr>
          </a:br>
          <a:r>
            <a:rPr lang="en-US" sz="1200">
              <a:latin typeface="Bookman Old Style" panose="02050604050505020204" pitchFamily="18" charset="0"/>
            </a:rPr>
            <a:t>50 of 70 calls </a:t>
          </a:r>
          <a:r>
            <a:rPr lang="en-US" sz="1200" b="1">
              <a:latin typeface="Bookman Old Style" panose="02050604050505020204" pitchFamily="18" charset="0"/>
            </a:rPr>
            <a:t>(71.4%) </a:t>
          </a:r>
          <a:r>
            <a:rPr lang="en-US" sz="1200">
              <a:latin typeface="Bookman Old Style" panose="02050604050505020204" pitchFamily="18" charset="0"/>
            </a:rPr>
            <a:t>concern Billing Questions. Improve billing FAQs, agent scripts, and self-service guidance.</a:t>
          </a:r>
          <a:br>
            <a:rPr lang="en-US" sz="1200">
              <a:latin typeface="Bookman Old Style" panose="02050604050505020204" pitchFamily="18" charset="0"/>
            </a:rPr>
          </a:br>
          <a:br>
            <a:rPr lang="en-US" sz="1200">
              <a:latin typeface="Bookman Old Style" panose="02050604050505020204" pitchFamily="18" charset="0"/>
            </a:rPr>
          </a:br>
          <a:r>
            <a:rPr lang="en-US" sz="1200">
              <a:latin typeface="Bookman Old Style" panose="02050604050505020204" pitchFamily="18" charset="0"/>
            </a:rPr>
            <a:t>53 of 70 calls </a:t>
          </a:r>
          <a:r>
            <a:rPr lang="en-US" sz="1200" b="1">
              <a:latin typeface="Bookman Old Style" panose="02050604050505020204" pitchFamily="18" charset="0"/>
            </a:rPr>
            <a:t>(75.7%) </a:t>
          </a:r>
          <a:r>
            <a:rPr lang="en-US" sz="1200">
              <a:latin typeface="Bookman Old Style" panose="02050604050505020204" pitchFamily="18" charset="0"/>
            </a:rPr>
            <a:t>are Within SLA; 17 calls (24.3%) are outside the target category.</a:t>
          </a:r>
          <a:br>
            <a:rPr lang="en-US" sz="1200">
              <a:latin typeface="Bookman Old Style" panose="02050604050505020204" pitchFamily="18" charset="0"/>
            </a:rPr>
          </a:br>
          <a:br>
            <a:rPr lang="en-US" sz="1200">
              <a:latin typeface="Bookman Old Style" panose="02050604050505020204" pitchFamily="18" charset="0"/>
            </a:rPr>
          </a:br>
          <a:r>
            <a:rPr lang="en-US" sz="1200">
              <a:latin typeface="Bookman Old Style" panose="02050604050505020204" pitchFamily="18" charset="0"/>
            </a:rPr>
            <a:t>Average CSAT is</a:t>
          </a:r>
          <a:r>
            <a:rPr lang="en-US" sz="1200" b="1">
              <a:latin typeface="Bookman Old Style" panose="02050604050505020204" pitchFamily="18" charset="0"/>
            </a:rPr>
            <a:t> 5.33/10</a:t>
          </a:r>
          <a:r>
            <a:rPr lang="en-US" sz="1200">
              <a:latin typeface="Bookman Old Style" panose="02050604050505020204" pitchFamily="18" charset="0"/>
            </a:rPr>
            <a:t>. Negative sentiment </a:t>
          </a:r>
          <a:r>
            <a:rPr lang="en-US" sz="1400">
              <a:latin typeface="Bookman Old Style" panose="02050604050505020204" pitchFamily="18" charset="0"/>
            </a:rPr>
            <a:t>averages</a:t>
          </a:r>
          <a:r>
            <a:rPr lang="en-US" sz="1200">
              <a:latin typeface="Bookman Old Style" panose="02050604050505020204" pitchFamily="18" charset="0"/>
            </a:rPr>
            <a:t> 4.17 CSAT, while Very Negative averages 3.07; focus recovery efforts on these customers.</a:t>
          </a:r>
          <a:br>
            <a:rPr lang="en-US" sz="1200">
              <a:latin typeface="Bookman Old Style" panose="02050604050505020204" pitchFamily="18" charset="0"/>
            </a:rPr>
          </a:br>
          <a:endParaRPr lang="en-US" sz="1200">
            <a:latin typeface="Bookman Old Style" panose="02050604050505020204" pitchFamily="18" charset="0"/>
          </a:endParaRPr>
        </a:p>
        <a:p>
          <a:r>
            <a:rPr lang="en-US" sz="1200">
              <a:latin typeface="Bookman Old Style" panose="02050604050505020204" pitchFamily="18" charset="0"/>
            </a:rPr>
            <a:t>Average call duration is 26.3 minutes overall. Service Outage calls </a:t>
          </a:r>
          <a:r>
            <a:rPr lang="en-US" sz="1200" b="1">
              <a:latin typeface="Bookman Old Style" panose="02050604050505020204" pitchFamily="18" charset="0"/>
            </a:rPr>
            <a:t>average 31.6 minutes</a:t>
          </a:r>
          <a:r>
            <a:rPr lang="en-US" sz="1200">
              <a:latin typeface="Bookman Old Style" panose="02050604050505020204" pitchFamily="18" charset="0"/>
            </a:rPr>
            <a:t>, suggesting complex cases may need better troubleshooting support.</a:t>
          </a:r>
          <a:br>
            <a:rPr lang="en-US" sz="1200">
              <a:latin typeface="Bookman Old Style" panose="02050604050505020204" pitchFamily="18" charset="0"/>
            </a:rPr>
          </a:br>
          <a:r>
            <a:rPr lang="en-US" sz="1200">
              <a:latin typeface="Bookman Old Style" panose="02050604050505020204" pitchFamily="18" charset="0"/>
            </a:rPr>
            <a:t>Number</a:t>
          </a:r>
          <a:r>
            <a:rPr lang="en-US" sz="1200" baseline="0">
              <a:latin typeface="Bookman Old Style" panose="02050604050505020204" pitchFamily="18" charset="0"/>
            </a:rPr>
            <a:t> of calls from </a:t>
          </a:r>
          <a:r>
            <a:rPr lang="en-US" sz="1200" b="1" baseline="0">
              <a:latin typeface="Bookman Old Style" panose="02050604050505020204" pitchFamily="18" charset="0"/>
            </a:rPr>
            <a:t>Texas and California </a:t>
          </a:r>
          <a:r>
            <a:rPr lang="en-US" sz="1200" baseline="0">
              <a:latin typeface="Bookman Old Style" panose="02050604050505020204" pitchFamily="18" charset="0"/>
            </a:rPr>
            <a:t>is high as compared to other states.</a:t>
          </a:r>
          <a:endParaRPr lang="en-US" sz="1200">
            <a:latin typeface="Bookman Old Style" panose="02050604050505020204" pitchFamily="18" charset="0"/>
          </a:endParaRPr>
        </a:p>
      </xdr:txBody>
    </xdr:sp>
    <xdr:clientData/>
  </xdr:twoCellAnchor>
  <xdr:twoCellAnchor>
    <xdr:from>
      <xdr:col>8</xdr:col>
      <xdr:colOff>250486</xdr:colOff>
      <xdr:row>42</xdr:row>
      <xdr:rowOff>103435</xdr:rowOff>
    </xdr:from>
    <xdr:to>
      <xdr:col>23</xdr:col>
      <xdr:colOff>509779</xdr:colOff>
      <xdr:row>44</xdr:row>
      <xdr:rowOff>81168</xdr:rowOff>
    </xdr:to>
    <xdr:sp macro="" textlink="">
      <xdr:nvSpPr>
        <xdr:cNvPr id="4" name="TextBox 3">
          <a:extLst>
            <a:ext uri="{FF2B5EF4-FFF2-40B4-BE49-F238E27FC236}">
              <a16:creationId xmlns:a16="http://schemas.microsoft.com/office/drawing/2014/main" id="{5514C4EC-E33A-42EC-9299-F9447CA26B3F}"/>
            </a:ext>
          </a:extLst>
        </xdr:cNvPr>
        <xdr:cNvSpPr txBox="1"/>
      </xdr:nvSpPr>
      <xdr:spPr>
        <a:xfrm>
          <a:off x="6522875" y="7864546"/>
          <a:ext cx="9579682" cy="344622"/>
        </a:xfrm>
        <a:prstGeom prst="rect">
          <a:avLst/>
        </a:prstGeom>
        <a:solidFill>
          <a:schemeClr val="accent5">
            <a:lumMod val="75000"/>
          </a:schemeClr>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Key insights &amp; Recomendation</a:t>
          </a:r>
          <a:endParaRPr lang="en-PK" sz="2000" b="1">
            <a:solidFill>
              <a:schemeClr val="bg1"/>
            </a:solidFill>
          </a:endParaRPr>
        </a:p>
      </xdr:txBody>
    </xdr:sp>
    <xdr:clientData/>
  </xdr:twoCellAnchor>
  <xdr:twoCellAnchor>
    <xdr:from>
      <xdr:col>8</xdr:col>
      <xdr:colOff>255793</xdr:colOff>
      <xdr:row>44</xdr:row>
      <xdr:rowOff>79631</xdr:rowOff>
    </xdr:from>
    <xdr:to>
      <xdr:col>12</xdr:col>
      <xdr:colOff>187758</xdr:colOff>
      <xdr:row>60</xdr:row>
      <xdr:rowOff>3907</xdr:rowOff>
    </xdr:to>
    <xdr:sp macro="" textlink="">
      <xdr:nvSpPr>
        <xdr:cNvPr id="5" name="TextBox 4">
          <a:extLst>
            <a:ext uri="{FF2B5EF4-FFF2-40B4-BE49-F238E27FC236}">
              <a16:creationId xmlns:a16="http://schemas.microsoft.com/office/drawing/2014/main" id="{BB4E5258-D7C7-4FA3-950B-76535FEACB6B}"/>
            </a:ext>
          </a:extLst>
        </xdr:cNvPr>
        <xdr:cNvSpPr txBox="1"/>
      </xdr:nvSpPr>
      <xdr:spPr>
        <a:xfrm>
          <a:off x="6528182" y="8207631"/>
          <a:ext cx="2803576" cy="2887609"/>
        </a:xfrm>
        <a:prstGeom prst="rect">
          <a:avLst/>
        </a:prstGeom>
        <a:solidFill>
          <a:schemeClr val="accent5">
            <a:lumMod val="60000"/>
            <a:lumOff val="40000"/>
          </a:schemeClr>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Bookman Old Style" panose="02050604050505020204" pitchFamily="18" charset="0"/>
            </a:rPr>
            <a:t>1. Sentiment needs an intention</a:t>
          </a:r>
          <a:br>
            <a:rPr lang="en-US" sz="1200" b="1">
              <a:latin typeface="Bookman Old Style" panose="02050604050505020204" pitchFamily="18" charset="0"/>
            </a:rPr>
          </a:br>
          <a:br>
            <a:rPr lang="en-US" sz="1200" b="1">
              <a:latin typeface="Bookman Old Style" panose="02050604050505020204" pitchFamily="18" charset="0"/>
            </a:rPr>
          </a:br>
          <a:r>
            <a:rPr lang="en-US" sz="1200" b="1">
              <a:latin typeface="Bookman Old Style" panose="02050604050505020204" pitchFamily="18" charset="0"/>
            </a:rPr>
            <a:t>2.</a:t>
          </a:r>
          <a:r>
            <a:rPr lang="en-US" sz="1200" b="1" baseline="0">
              <a:latin typeface="Bookman Old Style" panose="02050604050505020204" pitchFamily="18" charset="0"/>
            </a:rPr>
            <a:t> Billing question dominate</a:t>
          </a:r>
          <a:br>
            <a:rPr lang="en-US" sz="1200" b="1" baseline="0">
              <a:latin typeface="Bookman Old Style" panose="02050604050505020204" pitchFamily="18" charset="0"/>
            </a:rPr>
          </a:br>
          <a:br>
            <a:rPr lang="en-US" sz="1200" b="1" baseline="0">
              <a:latin typeface="Bookman Old Style" panose="02050604050505020204" pitchFamily="18" charset="0"/>
            </a:rPr>
          </a:br>
          <a:r>
            <a:rPr lang="en-US" sz="1200" b="1" baseline="0">
              <a:latin typeface="Bookman Old Style" panose="02050604050505020204" pitchFamily="18" charset="0"/>
            </a:rPr>
            <a:t>3. SLA performance is mostly on target</a:t>
          </a:r>
          <a:br>
            <a:rPr lang="en-US" sz="1200" b="1" baseline="0">
              <a:latin typeface="Bookman Old Style" panose="02050604050505020204" pitchFamily="18" charset="0"/>
            </a:rPr>
          </a:br>
          <a:br>
            <a:rPr lang="en-US" sz="1200" b="1" baseline="0">
              <a:latin typeface="Bookman Old Style" panose="02050604050505020204" pitchFamily="18" charset="0"/>
            </a:rPr>
          </a:br>
          <a:r>
            <a:rPr lang="en-US" sz="1200" b="1" baseline="0">
              <a:latin typeface="Bookman Old Style" panose="02050604050505020204" pitchFamily="18" charset="0"/>
            </a:rPr>
            <a:t>4. Customer satisfaction is moderate</a:t>
          </a:r>
          <a:br>
            <a:rPr lang="en-US" sz="1200" b="1" baseline="0">
              <a:latin typeface="Bookman Old Style" panose="02050604050505020204" pitchFamily="18" charset="0"/>
            </a:rPr>
          </a:br>
          <a:br>
            <a:rPr lang="en-US" sz="1200" b="1" baseline="0">
              <a:latin typeface="Bookman Old Style" panose="02050604050505020204" pitchFamily="18" charset="0"/>
            </a:rPr>
          </a:br>
          <a:r>
            <a:rPr lang="en-US" sz="1200" b="1" baseline="0">
              <a:latin typeface="Bookman Old Style" panose="02050604050505020204" pitchFamily="18" charset="0"/>
            </a:rPr>
            <a:t>5. Call duration varies by issue</a:t>
          </a:r>
          <a:br>
            <a:rPr lang="en-US" sz="1200" baseline="0"/>
          </a:br>
          <a:br>
            <a:rPr lang="en-US" sz="1200" baseline="0"/>
          </a:br>
          <a:r>
            <a:rPr lang="en-US" sz="1200" b="1" baseline="0">
              <a:latin typeface="Bookman Old Style" panose="02050604050505020204" pitchFamily="18" charset="0"/>
            </a:rPr>
            <a:t>6. Call Varies by state</a:t>
          </a:r>
          <a:endParaRPr lang="en-PK" sz="1200" b="1">
            <a:latin typeface="Bookman Old Style" panose="02050604050505020204" pitchFamily="18" charset="0"/>
          </a:endParaRPr>
        </a:p>
      </xdr:txBody>
    </xdr:sp>
    <xdr:clientData/>
  </xdr:twoCellAnchor>
  <xdr:twoCellAnchor editAs="oneCell">
    <xdr:from>
      <xdr:col>0</xdr:col>
      <xdr:colOff>0</xdr:colOff>
      <xdr:row>13</xdr:row>
      <xdr:rowOff>140871</xdr:rowOff>
    </xdr:from>
    <xdr:to>
      <xdr:col>1</xdr:col>
      <xdr:colOff>1194875</xdr:colOff>
      <xdr:row>21</xdr:row>
      <xdr:rowOff>132605</xdr:rowOff>
    </xdr:to>
    <mc:AlternateContent xmlns:mc="http://schemas.openxmlformats.org/markup-compatibility/2006" xmlns:a14="http://schemas.microsoft.com/office/drawing/2010/main">
      <mc:Choice Requires="a14">
        <xdr:graphicFrame macro="">
          <xdr:nvGraphicFramePr>
            <xdr:cNvPr id="18" name="Channel 1">
              <a:extLst>
                <a:ext uri="{FF2B5EF4-FFF2-40B4-BE49-F238E27FC236}">
                  <a16:creationId xmlns:a16="http://schemas.microsoft.com/office/drawing/2014/main" id="{021C70AE-AFDB-45FE-887F-EA3C5F40735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0" y="2568812"/>
              <a:ext cx="1812897" cy="148585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1288143</xdr:colOff>
      <xdr:row>26</xdr:row>
      <xdr:rowOff>29029</xdr:rowOff>
    </xdr:from>
    <xdr:to>
      <xdr:col>8</xdr:col>
      <xdr:colOff>228510</xdr:colOff>
      <xdr:row>42</xdr:row>
      <xdr:rowOff>79829</xdr:rowOff>
    </xdr:to>
    <xdr:graphicFrame macro="">
      <xdr:nvGraphicFramePr>
        <xdr:cNvPr id="20" name="Chart 19">
          <a:extLst>
            <a:ext uri="{FF2B5EF4-FFF2-40B4-BE49-F238E27FC236}">
              <a16:creationId xmlns:a16="http://schemas.microsoft.com/office/drawing/2014/main" id="{9E54A1F6-A6D7-48FD-85A0-5AF2C110E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1267062</xdr:colOff>
      <xdr:row>5</xdr:row>
      <xdr:rowOff>4384</xdr:rowOff>
    </xdr:from>
    <xdr:to>
      <xdr:col>2</xdr:col>
      <xdr:colOff>982867</xdr:colOff>
      <xdr:row>8</xdr:row>
      <xdr:rowOff>169917</xdr:rowOff>
    </xdr:to>
    <xdr:pic>
      <xdr:nvPicPr>
        <xdr:cNvPr id="6" name="Graphic 5" descr="Speaker Phone">
          <a:extLst>
            <a:ext uri="{FF2B5EF4-FFF2-40B4-BE49-F238E27FC236}">
              <a16:creationId xmlns:a16="http://schemas.microsoft.com/office/drawing/2014/main" id="{13BC1909-9873-4259-A7B1-7DB025F0D41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25862" y="956884"/>
          <a:ext cx="1006202" cy="737033"/>
        </a:xfrm>
        <a:prstGeom prst="rect">
          <a:avLst/>
        </a:prstGeom>
      </xdr:spPr>
    </xdr:pic>
    <xdr:clientData/>
  </xdr:twoCellAnchor>
  <xdr:twoCellAnchor editAs="oneCell">
    <xdr:from>
      <xdr:col>17</xdr:col>
      <xdr:colOff>556017</xdr:colOff>
      <xdr:row>5</xdr:row>
      <xdr:rowOff>26339</xdr:rowOff>
    </xdr:from>
    <xdr:to>
      <xdr:col>18</xdr:col>
      <xdr:colOff>562951</xdr:colOff>
      <xdr:row>8</xdr:row>
      <xdr:rowOff>157571</xdr:rowOff>
    </xdr:to>
    <xdr:pic>
      <xdr:nvPicPr>
        <xdr:cNvPr id="9" name="Graphic 8" descr="Stopwatch">
          <a:extLst>
            <a:ext uri="{FF2B5EF4-FFF2-40B4-BE49-F238E27FC236}">
              <a16:creationId xmlns:a16="http://schemas.microsoft.com/office/drawing/2014/main" id="{32E31A1F-3485-4A83-B260-DE277260C45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760717" y="978839"/>
          <a:ext cx="624231" cy="702732"/>
        </a:xfrm>
        <a:prstGeom prst="rect">
          <a:avLst/>
        </a:prstGeom>
      </xdr:spPr>
    </xdr:pic>
    <xdr:clientData/>
  </xdr:twoCellAnchor>
  <xdr:twoCellAnchor editAs="oneCell">
    <xdr:from>
      <xdr:col>6</xdr:col>
      <xdr:colOff>1237</xdr:colOff>
      <xdr:row>5</xdr:row>
      <xdr:rowOff>37495</xdr:rowOff>
    </xdr:from>
    <xdr:to>
      <xdr:col>7</xdr:col>
      <xdr:colOff>62154</xdr:colOff>
      <xdr:row>9</xdr:row>
      <xdr:rowOff>31306</xdr:rowOff>
    </xdr:to>
    <xdr:pic>
      <xdr:nvPicPr>
        <xdr:cNvPr id="31" name="Graphic 30" descr="Star">
          <a:extLst>
            <a:ext uri="{FF2B5EF4-FFF2-40B4-BE49-F238E27FC236}">
              <a16:creationId xmlns:a16="http://schemas.microsoft.com/office/drawing/2014/main" id="{E08075BF-B8A7-4C12-8831-16DFC388FFD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725637" y="989995"/>
          <a:ext cx="677445" cy="755811"/>
        </a:xfrm>
        <a:prstGeom prst="rect">
          <a:avLst/>
        </a:prstGeom>
      </xdr:spPr>
    </xdr:pic>
    <xdr:clientData/>
  </xdr:twoCellAnchor>
  <xdr:twoCellAnchor editAs="oneCell">
    <xdr:from>
      <xdr:col>8</xdr:col>
      <xdr:colOff>897466</xdr:colOff>
      <xdr:row>5</xdr:row>
      <xdr:rowOff>59036</xdr:rowOff>
    </xdr:from>
    <xdr:to>
      <xdr:col>9</xdr:col>
      <xdr:colOff>585502</xdr:colOff>
      <xdr:row>8</xdr:row>
      <xdr:rowOff>157812</xdr:rowOff>
    </xdr:to>
    <xdr:pic>
      <xdr:nvPicPr>
        <xdr:cNvPr id="35" name="Graphic 34" descr="Sad face with no fill">
          <a:extLst>
            <a:ext uri="{FF2B5EF4-FFF2-40B4-BE49-F238E27FC236}">
              <a16:creationId xmlns:a16="http://schemas.microsoft.com/office/drawing/2014/main" id="{649FEDF1-4FCC-4F1F-A5C6-CF7E24A4906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776633" y="940980"/>
          <a:ext cx="587619" cy="663221"/>
        </a:xfrm>
        <a:prstGeom prst="rect">
          <a:avLst/>
        </a:prstGeom>
      </xdr:spPr>
    </xdr:pic>
    <xdr:clientData/>
  </xdr:twoCellAnchor>
  <xdr:twoCellAnchor editAs="oneCell">
    <xdr:from>
      <xdr:col>13</xdr:col>
      <xdr:colOff>47032</xdr:colOff>
      <xdr:row>5</xdr:row>
      <xdr:rowOff>41638</xdr:rowOff>
    </xdr:from>
    <xdr:to>
      <xdr:col>14</xdr:col>
      <xdr:colOff>63530</xdr:colOff>
      <xdr:row>8</xdr:row>
      <xdr:rowOff>154525</xdr:rowOff>
    </xdr:to>
    <xdr:pic>
      <xdr:nvPicPr>
        <xdr:cNvPr id="37" name="Graphic 36" descr="Checkmark">
          <a:extLst>
            <a:ext uri="{FF2B5EF4-FFF2-40B4-BE49-F238E27FC236}">
              <a16:creationId xmlns:a16="http://schemas.microsoft.com/office/drawing/2014/main" id="{423B41FD-6275-452A-ACCC-03C7A4F8F76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016532" y="994138"/>
          <a:ext cx="633024" cy="684387"/>
        </a:xfrm>
        <a:prstGeom prst="rect">
          <a:avLst/>
        </a:prstGeom>
      </xdr:spPr>
    </xdr:pic>
    <xdr:clientData/>
  </xdr:twoCellAnchor>
  <xdr:twoCellAnchor>
    <xdr:from>
      <xdr:col>15</xdr:col>
      <xdr:colOff>190500</xdr:colOff>
      <xdr:row>9</xdr:row>
      <xdr:rowOff>25400</xdr:rowOff>
    </xdr:from>
    <xdr:to>
      <xdr:col>24</xdr:col>
      <xdr:colOff>0</xdr:colOff>
      <xdr:row>26</xdr:row>
      <xdr:rowOff>88900</xdr:rowOff>
    </xdr:to>
    <xdr:graphicFrame macro="">
      <xdr:nvGraphicFramePr>
        <xdr:cNvPr id="22" name="Chart 21">
          <a:extLst>
            <a:ext uri="{FF2B5EF4-FFF2-40B4-BE49-F238E27FC236}">
              <a16:creationId xmlns:a16="http://schemas.microsoft.com/office/drawing/2014/main" id="{728B3E03-CFCA-4E32-B03F-598E4D4F6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228600</xdr:colOff>
      <xdr:row>9</xdr:row>
      <xdr:rowOff>12700</xdr:rowOff>
    </xdr:from>
    <xdr:to>
      <xdr:col>15</xdr:col>
      <xdr:colOff>190500</xdr:colOff>
      <xdr:row>26</xdr:row>
      <xdr:rowOff>88900</xdr:rowOff>
    </xdr:to>
    <xdr:graphicFrame macro="">
      <xdr:nvGraphicFramePr>
        <xdr:cNvPr id="27" name="Chart 26">
          <a:extLst>
            <a:ext uri="{FF2B5EF4-FFF2-40B4-BE49-F238E27FC236}">
              <a16:creationId xmlns:a16="http://schemas.microsoft.com/office/drawing/2014/main" id="{3DF1DDBD-9399-4610-818B-AA234325E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1270000</xdr:colOff>
      <xdr:row>9</xdr:row>
      <xdr:rowOff>12700</xdr:rowOff>
    </xdr:from>
    <xdr:to>
      <xdr:col>8</xdr:col>
      <xdr:colOff>228600</xdr:colOff>
      <xdr:row>26</xdr:row>
      <xdr:rowOff>76200</xdr:rowOff>
    </xdr:to>
    <xdr:graphicFrame macro="">
      <xdr:nvGraphicFramePr>
        <xdr:cNvPr id="28" name="Chart 27">
          <a:extLst>
            <a:ext uri="{FF2B5EF4-FFF2-40B4-BE49-F238E27FC236}">
              <a16:creationId xmlns:a16="http://schemas.microsoft.com/office/drawing/2014/main" id="{BBEAB940-1220-4155-9295-46A652884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Qadeer" refreshedDate="46306.903806481481" createdVersion="6" refreshedVersion="6" minRefreshableVersion="3" recordCount="70" xr:uid="{5A5C44F2-07FB-497D-828C-653108D37D67}">
  <cacheSource type="worksheet">
    <worksheetSource ref="A6:Q76" sheet="Clean_Data"/>
  </cacheSource>
  <cacheFields count="17">
    <cacheField name="ID" numFmtId="0">
      <sharedItems/>
    </cacheField>
    <cacheField name="Customer Name" numFmtId="0">
      <sharedItems/>
    </cacheField>
    <cacheField name="Sentiment" numFmtId="0">
      <sharedItems count="5">
        <s v="Neutral"/>
        <s v="Negative"/>
        <s v="Very Negative"/>
        <s v="Positive"/>
        <s v="Very Positive"/>
      </sharedItems>
    </cacheField>
    <cacheField name="CSAT Score" numFmtId="0">
      <sharedItems containsSemiMixedTypes="0" containsString="0" containsNumber="1" containsInteger="1" minValue="1" maxValue="10"/>
    </cacheField>
    <cacheField name="Call Timestamp" numFmtId="14">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fieldGroup base="4">
        <rangePr groupBy="days" startDate="2024-01-01T00:00:00" endDate="2024-02-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2/2024"/>
        </groupItems>
      </fieldGroup>
    </cacheField>
    <cacheField name="Reason" numFmtId="0">
      <sharedItems count="3">
        <s v="Billing Question"/>
        <s v="Payments"/>
        <s v="Service Outage"/>
      </sharedItems>
    </cacheField>
    <cacheField name="City" numFmtId="0">
      <sharedItems/>
    </cacheField>
    <cacheField name="State" numFmtId="0">
      <sharedItems count="29">
        <s v="West Virginia"/>
        <s v="Hawaii"/>
        <s v="Texas"/>
        <s v="Florida"/>
        <s v="Alabama"/>
        <s v="South Carolina"/>
        <s v="Arkansas"/>
        <s v="Tennessee"/>
        <s v="California"/>
        <s v="Pennsylvania"/>
        <s v="Arizona"/>
        <s v="Iowa"/>
        <s v="Michigan"/>
        <s v="District of Columbia"/>
        <s v="New York"/>
        <s v="Wisconsin"/>
        <s v="Minnesota"/>
        <s v="Colorado"/>
        <s v="Kansas"/>
        <s v="Utah"/>
        <s v="Rhode Island"/>
        <s v="Virginia"/>
        <s v="Nevada"/>
        <s v="Illinois"/>
        <s v="Indiana"/>
        <s v="Missouri"/>
        <s v="Louisiana"/>
        <s v="Ohio"/>
        <s v="Georgia"/>
      </sharedItems>
    </cacheField>
    <cacheField name="Channel" numFmtId="0">
      <sharedItems count="4">
        <s v="Chatbot"/>
        <s v="Call-Center"/>
        <s v="Email"/>
        <s v="Web"/>
      </sharedItems>
    </cacheField>
    <cacheField name="Response Time" numFmtId="0">
      <sharedItems/>
    </cacheField>
    <cacheField name="Call Duration (Minutes)" numFmtId="0">
      <sharedItems containsSemiMixedTypes="0" containsString="0" containsNumber="1" containsInteger="1" minValue="6" maxValue="45"/>
    </cacheField>
    <cacheField name="Call Center" numFmtId="0">
      <sharedItems count="4">
        <s v="Chicago/IL"/>
        <s v="Los Angeles/CA"/>
        <s v="Denver/CO"/>
        <s v="Baltimore/MD"/>
      </sharedItems>
    </cacheField>
    <cacheField name="Month" numFmtId="14">
      <sharedItems/>
    </cacheField>
    <cacheField name="Sentiment Group" numFmtId="0">
      <sharedItems count="3">
        <s v="Neutral"/>
        <s v="Negative"/>
        <s v="Positive"/>
      </sharedItems>
    </cacheField>
    <cacheField name="CSAT Category" numFmtId="0">
      <sharedItems/>
    </cacheField>
    <cacheField name="Call Duration Category" numFmtId="0">
      <sharedItems/>
    </cacheField>
    <cacheField name="SLA Status" numFmtId="0">
      <sharedItems count="2">
        <s v="Within SLA"/>
        <s v="Above SLA"/>
      </sharedItems>
    </cacheField>
  </cacheFields>
  <extLst>
    <ext xmlns:x14="http://schemas.microsoft.com/office/spreadsheetml/2009/9/main" uri="{725AE2AE-9491-48be-B2B4-4EB974FC3084}">
      <x14:pivotCacheDefinition pivotCacheId="974951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PIS-39858047"/>
    <s v="Frances Gullefant"/>
    <x v="0"/>
    <n v="8"/>
    <x v="0"/>
    <x v="0"/>
    <s v="Charleston"/>
    <x v="0"/>
    <x v="0"/>
    <s v="Within SLA"/>
    <n v="14"/>
    <x v="0"/>
    <s v="Jan"/>
    <x v="0"/>
    <s v="High"/>
    <s v="Short"/>
    <x v="0"/>
  </r>
  <r>
    <s v="ROH-40287216"/>
    <s v="Harcourt Zoanetti"/>
    <x v="1"/>
    <n v="5"/>
    <x v="0"/>
    <x v="0"/>
    <s v="Honolulu"/>
    <x v="1"/>
    <x v="1"/>
    <s v="Within SLA"/>
    <n v="32"/>
    <x v="1"/>
    <s v="Jan"/>
    <x v="1"/>
    <s v="Medium"/>
    <s v="Long"/>
    <x v="0"/>
  </r>
  <r>
    <s v="NKC-39578431"/>
    <s v="Washington Oxteby"/>
    <x v="1"/>
    <n v="3"/>
    <x v="1"/>
    <x v="0"/>
    <s v="Dallas"/>
    <x v="2"/>
    <x v="0"/>
    <s v="Within SLA"/>
    <n v="6"/>
    <x v="2"/>
    <s v="Jan"/>
    <x v="1"/>
    <s v="Low"/>
    <s v="Short"/>
    <x v="0"/>
  </r>
  <r>
    <s v="APY-17008648"/>
    <s v="Rafe Duffitt"/>
    <x v="2"/>
    <n v="4"/>
    <x v="1"/>
    <x v="0"/>
    <s v="Fort Myers"/>
    <x v="3"/>
    <x v="2"/>
    <s v="Below SLA"/>
    <n v="26"/>
    <x v="1"/>
    <s v="Jan"/>
    <x v="1"/>
    <s v="Low"/>
    <s v="Medium"/>
    <x v="1"/>
  </r>
  <r>
    <s v="MHK-38443501"/>
    <s v="Tris Bent"/>
    <x v="3"/>
    <n v="8"/>
    <x v="1"/>
    <x v="0"/>
    <s v="Tuscaloosa"/>
    <x v="4"/>
    <x v="3"/>
    <s v="Within SLA"/>
    <n v="26"/>
    <x v="1"/>
    <s v="Jan"/>
    <x v="2"/>
    <s v="High"/>
    <s v="Medium"/>
    <x v="0"/>
  </r>
  <r>
    <s v="QKL-49133006"/>
    <s v="Kassie Elman"/>
    <x v="2"/>
    <n v="4"/>
    <x v="2"/>
    <x v="0"/>
    <s v="Charleston"/>
    <x v="5"/>
    <x v="3"/>
    <s v="Within SLA"/>
    <n v="6"/>
    <x v="3"/>
    <s v="Jan"/>
    <x v="1"/>
    <s v="Low"/>
    <s v="Short"/>
    <x v="0"/>
  </r>
  <r>
    <s v="ZPZ-31710059"/>
    <s v="Elbertina Hewins"/>
    <x v="4"/>
    <n v="10"/>
    <x v="2"/>
    <x v="1"/>
    <s v="Pensacola"/>
    <x v="3"/>
    <x v="1"/>
    <s v="Within SLA"/>
    <n v="9"/>
    <x v="1"/>
    <s v="Jan"/>
    <x v="2"/>
    <s v="High"/>
    <s v="Short"/>
    <x v="0"/>
  </r>
  <r>
    <s v="IJF-13083880"/>
    <s v="Garland Chuney"/>
    <x v="1"/>
    <n v="3"/>
    <x v="3"/>
    <x v="0"/>
    <s v="Little Rock"/>
    <x v="6"/>
    <x v="1"/>
    <s v="Within SLA"/>
    <n v="15"/>
    <x v="3"/>
    <s v="Jan"/>
    <x v="1"/>
    <s v="Low"/>
    <s v="Short"/>
    <x v="0"/>
  </r>
  <r>
    <s v="ZKW-68562847"/>
    <s v="Caroljean Bischop"/>
    <x v="1"/>
    <n v="3"/>
    <x v="3"/>
    <x v="0"/>
    <s v="Nashville"/>
    <x v="7"/>
    <x v="3"/>
    <s v="Within SLA"/>
    <n v="12"/>
    <x v="1"/>
    <s v="Jan"/>
    <x v="1"/>
    <s v="Low"/>
    <s v="Short"/>
    <x v="0"/>
  </r>
  <r>
    <s v="NIL-47926257"/>
    <s v="Delmor McKleod"/>
    <x v="1"/>
    <n v="6"/>
    <x v="4"/>
    <x v="0"/>
    <s v="El Paso"/>
    <x v="2"/>
    <x v="3"/>
    <s v="Within SLA"/>
    <n v="42"/>
    <x v="1"/>
    <s v="Jan"/>
    <x v="1"/>
    <s v="Medium"/>
    <s v="Long"/>
    <x v="0"/>
  </r>
  <r>
    <s v="BPQ-80812775"/>
    <s v="Julee O'Gavin"/>
    <x v="1"/>
    <n v="3"/>
    <x v="4"/>
    <x v="0"/>
    <s v="Santa Ana"/>
    <x v="8"/>
    <x v="0"/>
    <s v="Above SLA"/>
    <n v="44"/>
    <x v="3"/>
    <s v="Jan"/>
    <x v="1"/>
    <s v="Low"/>
    <s v="Long"/>
    <x v="1"/>
  </r>
  <r>
    <s v="ZOK-34480332"/>
    <s v="Jaye Gribbon"/>
    <x v="0"/>
    <n v="7"/>
    <x v="5"/>
    <x v="0"/>
    <s v="Huntington"/>
    <x v="0"/>
    <x v="0"/>
    <s v="Within SLA"/>
    <n v="29"/>
    <x v="3"/>
    <s v="Jan"/>
    <x v="0"/>
    <s v="Medium"/>
    <s v="Medium"/>
    <x v="0"/>
  </r>
  <r>
    <s v="ZMB-79323804"/>
    <s v="Brodie Dobrowski"/>
    <x v="1"/>
    <n v="5"/>
    <x v="5"/>
    <x v="0"/>
    <s v="Pittsburgh"/>
    <x v="9"/>
    <x v="0"/>
    <s v="Within SLA"/>
    <n v="35"/>
    <x v="3"/>
    <s v="Jan"/>
    <x v="1"/>
    <s v="Medium"/>
    <s v="Long"/>
    <x v="0"/>
  </r>
  <r>
    <s v="YYO-56445305"/>
    <s v="Sibylla Kemet"/>
    <x v="2"/>
    <n v="2"/>
    <x v="6"/>
    <x v="0"/>
    <s v="Tucson"/>
    <x v="10"/>
    <x v="3"/>
    <s v="Within SLA"/>
    <n v="30"/>
    <x v="1"/>
    <s v="Jan"/>
    <x v="1"/>
    <s v="Low"/>
    <s v="Medium"/>
    <x v="0"/>
  </r>
  <r>
    <s v="JYD-67455825"/>
    <s v="Quintilla Hourston"/>
    <x v="1"/>
    <n v="6"/>
    <x v="6"/>
    <x v="1"/>
    <s v="Des Moines"/>
    <x v="11"/>
    <x v="1"/>
    <s v="Within SLA"/>
    <n v="29"/>
    <x v="1"/>
    <s v="Jan"/>
    <x v="1"/>
    <s v="Medium"/>
    <s v="Medium"/>
    <x v="0"/>
  </r>
  <r>
    <s v="KNO-93249512"/>
    <s v="Maggi Simpson"/>
    <x v="3"/>
    <n v="9"/>
    <x v="7"/>
    <x v="1"/>
    <s v="San Francisco"/>
    <x v="8"/>
    <x v="1"/>
    <s v="Within SLA"/>
    <n v="9"/>
    <x v="3"/>
    <s v="Jan"/>
    <x v="2"/>
    <s v="High"/>
    <s v="Short"/>
    <x v="0"/>
  </r>
  <r>
    <s v="VFG-63863025"/>
    <s v="Early Andrassy"/>
    <x v="4"/>
    <n v="9"/>
    <x v="7"/>
    <x v="0"/>
    <s v="Lansing"/>
    <x v="12"/>
    <x v="0"/>
    <s v="Within SLA"/>
    <n v="8"/>
    <x v="1"/>
    <s v="Jan"/>
    <x v="2"/>
    <s v="High"/>
    <s v="Short"/>
    <x v="0"/>
  </r>
  <r>
    <s v="UCT-41608771"/>
    <s v="Ettie Ruoff"/>
    <x v="2"/>
    <n v="3"/>
    <x v="7"/>
    <x v="0"/>
    <s v="Washington"/>
    <x v="13"/>
    <x v="0"/>
    <s v="Above SLA"/>
    <n v="35"/>
    <x v="0"/>
    <s v="Jan"/>
    <x v="1"/>
    <s v="Low"/>
    <s v="Long"/>
    <x v="1"/>
  </r>
  <r>
    <s v="YLF-83918836"/>
    <s v="Bogey McReath"/>
    <x v="3"/>
    <n v="7"/>
    <x v="7"/>
    <x v="0"/>
    <s v="New York City"/>
    <x v="14"/>
    <x v="3"/>
    <s v="Within SLA"/>
    <n v="20"/>
    <x v="3"/>
    <s v="Jan"/>
    <x v="2"/>
    <s v="Medium"/>
    <s v="Medium"/>
    <x v="0"/>
  </r>
  <r>
    <s v="QCH-83950486"/>
    <s v="Sephira Philippart"/>
    <x v="1"/>
    <n v="3"/>
    <x v="8"/>
    <x v="0"/>
    <s v="Madison"/>
    <x v="15"/>
    <x v="3"/>
    <s v="Within SLA"/>
    <n v="31"/>
    <x v="1"/>
    <s v="Jan"/>
    <x v="1"/>
    <s v="Low"/>
    <s v="Long"/>
    <x v="0"/>
  </r>
  <r>
    <s v="PDB-14404239"/>
    <s v="Charles Sandison"/>
    <x v="0"/>
    <n v="5"/>
    <x v="8"/>
    <x v="0"/>
    <s v="Fort Pierce"/>
    <x v="3"/>
    <x v="2"/>
    <s v="Below SLA"/>
    <n v="39"/>
    <x v="1"/>
    <s v="Jan"/>
    <x v="0"/>
    <s v="Medium"/>
    <s v="Long"/>
    <x v="1"/>
  </r>
  <r>
    <s v="LFZ-17229282"/>
    <s v="Zora Keelin"/>
    <x v="1"/>
    <n v="3"/>
    <x v="9"/>
    <x v="0"/>
    <s v="Lubbock"/>
    <x v="2"/>
    <x v="1"/>
    <s v="Within SLA"/>
    <n v="38"/>
    <x v="2"/>
    <s v="Jan"/>
    <x v="1"/>
    <s v="Low"/>
    <s v="Long"/>
    <x v="0"/>
  </r>
  <r>
    <s v="VKV-67119644"/>
    <s v="Lillis Dewhurst"/>
    <x v="1"/>
    <n v="4"/>
    <x v="9"/>
    <x v="0"/>
    <s v="Stockton"/>
    <x v="8"/>
    <x v="1"/>
    <s v="Above SLA"/>
    <n v="44"/>
    <x v="2"/>
    <s v="Jan"/>
    <x v="1"/>
    <s v="Low"/>
    <s v="Long"/>
    <x v="1"/>
  </r>
  <r>
    <s v="PBY-32667898"/>
    <s v="Luz Gudgeon"/>
    <x v="2"/>
    <n v="4"/>
    <x v="10"/>
    <x v="2"/>
    <s v="Corpus Christi"/>
    <x v="2"/>
    <x v="0"/>
    <s v="Within SLA"/>
    <n v="41"/>
    <x v="0"/>
    <s v="Jan"/>
    <x v="1"/>
    <s v="Low"/>
    <s v="Long"/>
    <x v="0"/>
  </r>
  <r>
    <s v="EWI-18960031"/>
    <s v="Abigale Morgan"/>
    <x v="2"/>
    <n v="4"/>
    <x v="10"/>
    <x v="0"/>
    <s v="Minneapolis"/>
    <x v="16"/>
    <x v="0"/>
    <s v="Within SLA"/>
    <n v="7"/>
    <x v="3"/>
    <s v="Jan"/>
    <x v="1"/>
    <s v="Low"/>
    <s v="Short"/>
    <x v="0"/>
  </r>
  <r>
    <s v="IYX-48770048"/>
    <s v="Minette Muzzillo"/>
    <x v="2"/>
    <n v="4"/>
    <x v="11"/>
    <x v="0"/>
    <s v="Colorado Springs"/>
    <x v="17"/>
    <x v="2"/>
    <s v="Within SLA"/>
    <n v="34"/>
    <x v="1"/>
    <s v="Jan"/>
    <x v="1"/>
    <s v="Low"/>
    <s v="Long"/>
    <x v="0"/>
  </r>
  <r>
    <s v="EVO-87671386"/>
    <s v="Nanon FitzGilbert"/>
    <x v="4"/>
    <n v="10"/>
    <x v="11"/>
    <x v="0"/>
    <s v="Abilene"/>
    <x v="2"/>
    <x v="3"/>
    <s v="Below SLA"/>
    <n v="36"/>
    <x v="1"/>
    <s v="Jan"/>
    <x v="2"/>
    <s v="High"/>
    <s v="Long"/>
    <x v="1"/>
  </r>
  <r>
    <s v="ZYX-10467563"/>
    <s v="Ginelle Olver"/>
    <x v="0"/>
    <n v="8"/>
    <x v="12"/>
    <x v="0"/>
    <s v="Fort Lauderdale"/>
    <x v="3"/>
    <x v="1"/>
    <s v="Within SLA"/>
    <n v="9"/>
    <x v="0"/>
    <s v="Jan"/>
    <x v="0"/>
    <s v="High"/>
    <s v="Short"/>
    <x v="0"/>
  </r>
  <r>
    <s v="DZU-03236134"/>
    <s v="Tricia Kinnie"/>
    <x v="1"/>
    <n v="6"/>
    <x v="12"/>
    <x v="0"/>
    <s v="Shawnee Mission"/>
    <x v="18"/>
    <x v="1"/>
    <s v="Within SLA"/>
    <n v="39"/>
    <x v="3"/>
    <s v="Jan"/>
    <x v="1"/>
    <s v="Medium"/>
    <s v="Long"/>
    <x v="0"/>
  </r>
  <r>
    <s v="CAZ-10660311"/>
    <s v="Kristoforo Burnell"/>
    <x v="3"/>
    <n v="7"/>
    <x v="13"/>
    <x v="0"/>
    <s v="Gainesville"/>
    <x v="3"/>
    <x v="2"/>
    <s v="Within SLA"/>
    <n v="17"/>
    <x v="1"/>
    <s v="Jan"/>
    <x v="2"/>
    <s v="Medium"/>
    <s v="Medium"/>
    <x v="0"/>
  </r>
  <r>
    <s v="ESF-57588548"/>
    <s v="Dulsea Pendry"/>
    <x v="4"/>
    <n v="10"/>
    <x v="13"/>
    <x v="0"/>
    <s v="Erie"/>
    <x v="9"/>
    <x v="3"/>
    <s v="Within SLA"/>
    <n v="26"/>
    <x v="1"/>
    <s v="Jan"/>
    <x v="2"/>
    <s v="High"/>
    <s v="Medium"/>
    <x v="0"/>
  </r>
  <r>
    <s v="WKS-55916097"/>
    <s v="Alberik Jacques"/>
    <x v="0"/>
    <n v="6"/>
    <x v="14"/>
    <x v="2"/>
    <s v="Houston"/>
    <x v="2"/>
    <x v="0"/>
    <s v="Below SLA"/>
    <n v="35"/>
    <x v="3"/>
    <s v="Jan"/>
    <x v="0"/>
    <s v="Medium"/>
    <s v="Long"/>
    <x v="1"/>
  </r>
  <r>
    <s v="OHX-59443580"/>
    <s v="Banky Falla"/>
    <x v="1"/>
    <n v="5"/>
    <x v="14"/>
    <x v="1"/>
    <s v="Saint Paul"/>
    <x v="16"/>
    <x v="1"/>
    <s v="Below SLA"/>
    <n v="25"/>
    <x v="0"/>
    <s v="Jan"/>
    <x v="1"/>
    <s v="Medium"/>
    <s v="Medium"/>
    <x v="1"/>
  </r>
  <r>
    <s v="TLA-11600824"/>
    <s v="Ganny Crampsy"/>
    <x v="1"/>
    <n v="3"/>
    <x v="15"/>
    <x v="2"/>
    <s v="Minneapolis"/>
    <x v="16"/>
    <x v="0"/>
    <s v="Within SLA"/>
    <n v="35"/>
    <x v="0"/>
    <s v="Jan"/>
    <x v="1"/>
    <s v="Low"/>
    <s v="Long"/>
    <x v="0"/>
  </r>
  <r>
    <s v="YPB-82095843"/>
    <s v="Shari Adrienne"/>
    <x v="1"/>
    <n v="3"/>
    <x v="15"/>
    <x v="0"/>
    <s v="Fort Worth"/>
    <x v="2"/>
    <x v="1"/>
    <s v="Within SLA"/>
    <n v="38"/>
    <x v="3"/>
    <s v="Jan"/>
    <x v="1"/>
    <s v="Low"/>
    <s v="Long"/>
    <x v="0"/>
  </r>
  <r>
    <s v="LZU-62237096"/>
    <s v="Charo Aisbett"/>
    <x v="1"/>
    <n v="3"/>
    <x v="16"/>
    <x v="0"/>
    <s v="Salt Lake City"/>
    <x v="19"/>
    <x v="3"/>
    <s v="Below SLA"/>
    <n v="14"/>
    <x v="1"/>
    <s v="Jan"/>
    <x v="1"/>
    <s v="Low"/>
    <s v="Short"/>
    <x v="1"/>
  </r>
  <r>
    <s v="XCX-53374693"/>
    <s v="Francyne Hagergham"/>
    <x v="1"/>
    <n v="6"/>
    <x v="16"/>
    <x v="0"/>
    <s v="Santa Ana"/>
    <x v="8"/>
    <x v="3"/>
    <s v="Within SLA"/>
    <n v="43"/>
    <x v="1"/>
    <s v="Jan"/>
    <x v="1"/>
    <s v="Medium"/>
    <s v="Long"/>
    <x v="0"/>
  </r>
  <r>
    <s v="PJL-11752230"/>
    <s v="Lindsay Bubb"/>
    <x v="4"/>
    <n v="9"/>
    <x v="17"/>
    <x v="0"/>
    <s v="South Lake Tahoe"/>
    <x v="8"/>
    <x v="1"/>
    <s v="Within SLA"/>
    <n v="43"/>
    <x v="1"/>
    <s v="Jan"/>
    <x v="2"/>
    <s v="High"/>
    <s v="Long"/>
    <x v="0"/>
  </r>
  <r>
    <s v="MFC-52269149"/>
    <s v="Roobbie Pickervance"/>
    <x v="0"/>
    <n v="6"/>
    <x v="17"/>
    <x v="0"/>
    <s v="Montgomery"/>
    <x v="4"/>
    <x v="3"/>
    <s v="Within SLA"/>
    <n v="6"/>
    <x v="3"/>
    <s v="Jan"/>
    <x v="0"/>
    <s v="Medium"/>
    <s v="Short"/>
    <x v="0"/>
  </r>
  <r>
    <s v="TQC-88855863"/>
    <s v="Erminia Lummasana"/>
    <x v="3"/>
    <n v="7"/>
    <x v="18"/>
    <x v="0"/>
    <s v="Providence"/>
    <x v="20"/>
    <x v="2"/>
    <s v="Below SLA"/>
    <n v="41"/>
    <x v="1"/>
    <s v="Jan"/>
    <x v="2"/>
    <s v="Medium"/>
    <s v="Long"/>
    <x v="1"/>
  </r>
  <r>
    <s v="FGR-90006976"/>
    <s v="Ariel Pittendreigh"/>
    <x v="1"/>
    <n v="4"/>
    <x v="18"/>
    <x v="1"/>
    <s v="Richmond"/>
    <x v="21"/>
    <x v="1"/>
    <s v="Within SLA"/>
    <n v="27"/>
    <x v="3"/>
    <s v="Jan"/>
    <x v="1"/>
    <s v="Low"/>
    <s v="Medium"/>
    <x v="0"/>
  </r>
  <r>
    <s v="PAT-23706620"/>
    <s v="Rudie Tomsen"/>
    <x v="3"/>
    <n v="7"/>
    <x v="19"/>
    <x v="1"/>
    <s v="Johnstown"/>
    <x v="9"/>
    <x v="1"/>
    <s v="Within SLA"/>
    <n v="9"/>
    <x v="1"/>
    <s v="Jan"/>
    <x v="2"/>
    <s v="Medium"/>
    <s v="Short"/>
    <x v="0"/>
  </r>
  <r>
    <s v="XRX-56871498"/>
    <s v="Alric Scrane"/>
    <x v="2"/>
    <n v="4"/>
    <x v="19"/>
    <x v="1"/>
    <s v="Washington"/>
    <x v="13"/>
    <x v="1"/>
    <s v="Within SLA"/>
    <n v="30"/>
    <x v="1"/>
    <s v="Jan"/>
    <x v="1"/>
    <s v="Low"/>
    <s v="Medium"/>
    <x v="0"/>
  </r>
  <r>
    <s v="BYM-24034403"/>
    <s v="Eyde Djurevic"/>
    <x v="2"/>
    <n v="2"/>
    <x v="20"/>
    <x v="0"/>
    <s v="Bronx"/>
    <x v="14"/>
    <x v="0"/>
    <s v="Above SLA"/>
    <n v="36"/>
    <x v="0"/>
    <s v="Jan"/>
    <x v="1"/>
    <s v="Low"/>
    <s v="Long"/>
    <x v="1"/>
  </r>
  <r>
    <s v="TNK-37391425"/>
    <s v="Hubey Wartonby"/>
    <x v="1"/>
    <n v="3"/>
    <x v="20"/>
    <x v="1"/>
    <s v="Las Vegas"/>
    <x v="22"/>
    <x v="1"/>
    <s v="Above SLA"/>
    <n v="17"/>
    <x v="3"/>
    <s v="Jan"/>
    <x v="1"/>
    <s v="Low"/>
    <s v="Medium"/>
    <x v="1"/>
  </r>
  <r>
    <s v="JJM-32557838"/>
    <s v="Cirstoforo Jemmett"/>
    <x v="2"/>
    <n v="4"/>
    <x v="21"/>
    <x v="0"/>
    <s v="Fort Myers"/>
    <x v="3"/>
    <x v="3"/>
    <s v="Within SLA"/>
    <n v="38"/>
    <x v="3"/>
    <s v="Jan"/>
    <x v="1"/>
    <s v="Low"/>
    <s v="Long"/>
    <x v="0"/>
  </r>
  <r>
    <s v="KWC-18652469"/>
    <s v="Elijah Goalby"/>
    <x v="2"/>
    <n v="2"/>
    <x v="21"/>
    <x v="2"/>
    <s v="Pasadena"/>
    <x v="8"/>
    <x v="0"/>
    <s v="Within SLA"/>
    <n v="36"/>
    <x v="1"/>
    <s v="Jan"/>
    <x v="1"/>
    <s v="Low"/>
    <s v="Long"/>
    <x v="0"/>
  </r>
  <r>
    <s v="GCS-45015293"/>
    <s v="Thaddus Seeley"/>
    <x v="3"/>
    <n v="9"/>
    <x v="22"/>
    <x v="0"/>
    <s v="Sacramento"/>
    <x v="8"/>
    <x v="0"/>
    <s v="Within SLA"/>
    <n v="38"/>
    <x v="3"/>
    <s v="Jan"/>
    <x v="2"/>
    <s v="High"/>
    <s v="Long"/>
    <x v="0"/>
  </r>
  <r>
    <s v="IZX-08099835"/>
    <s v="Brody Rebichon"/>
    <x v="1"/>
    <n v="6"/>
    <x v="22"/>
    <x v="0"/>
    <s v="Chicago"/>
    <x v="23"/>
    <x v="0"/>
    <s v="Within SLA"/>
    <n v="13"/>
    <x v="3"/>
    <s v="Jan"/>
    <x v="1"/>
    <s v="Medium"/>
    <s v="Short"/>
    <x v="0"/>
  </r>
  <r>
    <s v="TPZ-92635583"/>
    <s v="Eartha Boner"/>
    <x v="3"/>
    <n v="8"/>
    <x v="23"/>
    <x v="2"/>
    <s v="Fort Wayne"/>
    <x v="24"/>
    <x v="0"/>
    <s v="Within SLA"/>
    <n v="42"/>
    <x v="1"/>
    <s v="Jan"/>
    <x v="2"/>
    <s v="High"/>
    <s v="Long"/>
    <x v="0"/>
  </r>
  <r>
    <s v="JOT-87331404"/>
    <s v="Loralee Shivell"/>
    <x v="0"/>
    <n v="8"/>
    <x v="23"/>
    <x v="2"/>
    <s v="Kansas City"/>
    <x v="25"/>
    <x v="0"/>
    <s v="Within SLA"/>
    <n v="7"/>
    <x v="3"/>
    <s v="Jan"/>
    <x v="0"/>
    <s v="High"/>
    <s v="Short"/>
    <x v="0"/>
  </r>
  <r>
    <s v="OKK-04567923"/>
    <s v="Zacherie Tigner"/>
    <x v="2"/>
    <n v="4"/>
    <x v="23"/>
    <x v="1"/>
    <s v="Long Beach"/>
    <x v="8"/>
    <x v="1"/>
    <s v="Within SLA"/>
    <n v="30"/>
    <x v="3"/>
    <s v="Jan"/>
    <x v="1"/>
    <s v="Low"/>
    <s v="Medium"/>
    <x v="0"/>
  </r>
  <r>
    <s v="TCX-30032546"/>
    <s v="Madelena Pinnock"/>
    <x v="1"/>
    <n v="4"/>
    <x v="23"/>
    <x v="2"/>
    <s v="Fort Pierce"/>
    <x v="3"/>
    <x v="0"/>
    <s v="Above SLA"/>
    <n v="22"/>
    <x v="3"/>
    <s v="Jan"/>
    <x v="1"/>
    <s v="Low"/>
    <s v="Medium"/>
    <x v="1"/>
  </r>
  <r>
    <s v="HMX-04214019"/>
    <s v="Mira Beddows"/>
    <x v="3"/>
    <n v="7"/>
    <x v="24"/>
    <x v="0"/>
    <s v="Baton Rouge"/>
    <x v="26"/>
    <x v="1"/>
    <s v="Within SLA"/>
    <n v="8"/>
    <x v="3"/>
    <s v="Jan"/>
    <x v="2"/>
    <s v="Medium"/>
    <s v="Short"/>
    <x v="0"/>
  </r>
  <r>
    <s v="SYU-34524338"/>
    <s v="Giralda Gebby"/>
    <x v="2"/>
    <n v="3"/>
    <x v="24"/>
    <x v="0"/>
    <s v="Naperville"/>
    <x v="23"/>
    <x v="0"/>
    <s v="Above SLA"/>
    <n v="44"/>
    <x v="3"/>
    <s v="Jan"/>
    <x v="1"/>
    <s v="Low"/>
    <s v="Long"/>
    <x v="1"/>
  </r>
  <r>
    <s v="GBF-72465641"/>
    <s v="Shelagh Washington"/>
    <x v="2"/>
    <n v="1"/>
    <x v="25"/>
    <x v="0"/>
    <s v="Salt Lake City"/>
    <x v="19"/>
    <x v="0"/>
    <s v="Within SLA"/>
    <n v="34"/>
    <x v="3"/>
    <s v="Jan"/>
    <x v="1"/>
    <s v="Low"/>
    <s v="Long"/>
    <x v="0"/>
  </r>
  <r>
    <s v="FMF-68865737"/>
    <s v="Janeczka Caze"/>
    <x v="1"/>
    <n v="6"/>
    <x v="25"/>
    <x v="0"/>
    <s v="Minneapolis"/>
    <x v="16"/>
    <x v="1"/>
    <s v="Within SLA"/>
    <n v="18"/>
    <x v="1"/>
    <s v="Jan"/>
    <x v="1"/>
    <s v="Medium"/>
    <s v="Medium"/>
    <x v="0"/>
  </r>
  <r>
    <s v="WMA-45712668"/>
    <s v="Angie Francklin"/>
    <x v="1"/>
    <n v="4"/>
    <x v="26"/>
    <x v="0"/>
    <s v="Evansville"/>
    <x v="24"/>
    <x v="2"/>
    <s v="Within SLA"/>
    <n v="23"/>
    <x v="1"/>
    <s v="Jan"/>
    <x v="1"/>
    <s v="Low"/>
    <s v="Medium"/>
    <x v="0"/>
  </r>
  <r>
    <s v="VEC-69408692"/>
    <s v="Anna-maria McPeice"/>
    <x v="0"/>
    <n v="7"/>
    <x v="26"/>
    <x v="0"/>
    <s v="Rockford"/>
    <x v="23"/>
    <x v="1"/>
    <s v="Within SLA"/>
    <n v="37"/>
    <x v="1"/>
    <s v="Jan"/>
    <x v="0"/>
    <s v="Medium"/>
    <s v="Long"/>
    <x v="0"/>
  </r>
  <r>
    <s v="MBN-58485152"/>
    <s v="Jude Traise"/>
    <x v="4"/>
    <n v="9"/>
    <x v="27"/>
    <x v="0"/>
    <s v="Harrisburg"/>
    <x v="9"/>
    <x v="3"/>
    <s v="Within SLA"/>
    <n v="14"/>
    <x v="3"/>
    <s v="Jan"/>
    <x v="2"/>
    <s v="High"/>
    <s v="Short"/>
    <x v="0"/>
  </r>
  <r>
    <s v="VBY-78584211"/>
    <s v="Evangeline Dillingham"/>
    <x v="1"/>
    <n v="5"/>
    <x v="27"/>
    <x v="0"/>
    <s v="Reno"/>
    <x v="22"/>
    <x v="3"/>
    <s v="Within SLA"/>
    <n v="31"/>
    <x v="2"/>
    <s v="Jan"/>
    <x v="1"/>
    <s v="Medium"/>
    <s v="Long"/>
    <x v="0"/>
  </r>
  <r>
    <s v="WSO-69134806"/>
    <s v="Patti Gocher"/>
    <x v="2"/>
    <n v="1"/>
    <x v="28"/>
    <x v="1"/>
    <s v="Bloomington"/>
    <x v="23"/>
    <x v="1"/>
    <s v="Within SLA"/>
    <n v="10"/>
    <x v="2"/>
    <s v="Jan"/>
    <x v="1"/>
    <s v="Low"/>
    <s v="Short"/>
    <x v="0"/>
  </r>
  <r>
    <s v="MYP-30178430"/>
    <s v="Cora Buggs"/>
    <x v="1"/>
    <n v="3"/>
    <x v="28"/>
    <x v="0"/>
    <s v="Katy"/>
    <x v="2"/>
    <x v="0"/>
    <s v="Above SLA"/>
    <n v="45"/>
    <x v="3"/>
    <s v="Jan"/>
    <x v="1"/>
    <s v="Low"/>
    <s v="Long"/>
    <x v="1"/>
  </r>
  <r>
    <s v="FRU-31409409"/>
    <s v="Othella Kindle"/>
    <x v="1"/>
    <n v="5"/>
    <x v="28"/>
    <x v="0"/>
    <s v="Little Rock"/>
    <x v="6"/>
    <x v="2"/>
    <s v="Within SLA"/>
    <n v="8"/>
    <x v="2"/>
    <s v="Jan"/>
    <x v="1"/>
    <s v="Medium"/>
    <s v="Short"/>
    <x v="0"/>
  </r>
  <r>
    <s v="VMZ-59696572"/>
    <s v="Sheppard Withull"/>
    <x v="3"/>
    <n v="8"/>
    <x v="28"/>
    <x v="0"/>
    <s v="Concord"/>
    <x v="8"/>
    <x v="2"/>
    <s v="Below SLA"/>
    <n v="35"/>
    <x v="1"/>
    <s v="Jan"/>
    <x v="2"/>
    <s v="High"/>
    <s v="Long"/>
    <x v="1"/>
  </r>
  <r>
    <s v="JCE-87896568"/>
    <s v="Llewellyn Pablos"/>
    <x v="4"/>
    <n v="9"/>
    <x v="28"/>
    <x v="1"/>
    <s v="Lubbock"/>
    <x v="2"/>
    <x v="1"/>
    <s v="Within SLA"/>
    <n v="33"/>
    <x v="1"/>
    <s v="Jan"/>
    <x v="2"/>
    <s v="High"/>
    <s v="Long"/>
    <x v="0"/>
  </r>
  <r>
    <s v="GZL-83273642"/>
    <s v="Lurleen Swadden"/>
    <x v="0"/>
    <n v="8"/>
    <x v="29"/>
    <x v="1"/>
    <s v="Chicago"/>
    <x v="23"/>
    <x v="1"/>
    <s v="Within SLA"/>
    <n v="8"/>
    <x v="3"/>
    <s v="Jan"/>
    <x v="0"/>
    <s v="High"/>
    <s v="Short"/>
    <x v="0"/>
  </r>
  <r>
    <s v="YHK-31842577"/>
    <s v="Ardith Bunting"/>
    <x v="1"/>
    <n v="3"/>
    <x v="29"/>
    <x v="0"/>
    <s v="Columbus"/>
    <x v="27"/>
    <x v="3"/>
    <s v="Within SLA"/>
    <n v="19"/>
    <x v="3"/>
    <s v="Jan"/>
    <x v="1"/>
    <s v="Low"/>
    <s v="Medium"/>
    <x v="0"/>
  </r>
  <r>
    <s v="BGA-81071725"/>
    <s v="Wylie Gramer"/>
    <x v="1"/>
    <n v="3"/>
    <x v="30"/>
    <x v="0"/>
    <s v="Columbus"/>
    <x v="28"/>
    <x v="3"/>
    <s v="Within SLA"/>
    <n v="23"/>
    <x v="1"/>
    <s v="Jan"/>
    <x v="1"/>
    <s v="Low"/>
    <s v="Medium"/>
    <x v="0"/>
  </r>
  <r>
    <s v="CRQ-64410572"/>
    <s v="Bat Pond"/>
    <x v="1"/>
    <n v="5"/>
    <x v="30"/>
    <x v="2"/>
    <s v="New York City"/>
    <x v="14"/>
    <x v="0"/>
    <s v="Below SLA"/>
    <n v="35"/>
    <x v="1"/>
    <s v="Jan"/>
    <x v="1"/>
    <s v="Medium"/>
    <s v="Long"/>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60ECA-4D79-4049-8B81-A387515B0F9F}" name="Sentiment Grou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Sentiment">
  <location ref="A6:B10" firstHeaderRow="1" firstDataRow="1" firstDataCol="1"/>
  <pivotFields count="17">
    <pivotField dataField="1" showAll="0"/>
    <pivotField showAll="0"/>
    <pivotField showAll="0"/>
    <pivotField showAll="0"/>
    <pivotField numFmtId="14" showAll="0"/>
    <pivotField showAll="0">
      <items count="4">
        <item x="0"/>
        <item x="1"/>
        <item x="2"/>
        <item t="default"/>
      </items>
    </pivotField>
    <pivotField showAll="0"/>
    <pivotField showAll="0"/>
    <pivotField showAll="0">
      <items count="5">
        <item x="1"/>
        <item x="0"/>
        <item x="2"/>
        <item x="3"/>
        <item t="default"/>
      </items>
    </pivotField>
    <pivotField showAll="0"/>
    <pivotField showAll="0"/>
    <pivotField showAll="0">
      <items count="5">
        <item x="3"/>
        <item x="0"/>
        <item x="2"/>
        <item x="1"/>
        <item t="default"/>
      </items>
    </pivotField>
    <pivotField showAll="0"/>
    <pivotField axis="axisRow" showAll="0">
      <items count="4">
        <item x="1"/>
        <item x="0"/>
        <item x="2"/>
        <item t="default"/>
      </items>
    </pivotField>
    <pivotField showAll="0"/>
    <pivotField showAll="0"/>
    <pivotField showAll="0">
      <items count="3">
        <item x="1"/>
        <item x="0"/>
        <item t="default"/>
      </items>
    </pivotField>
  </pivotFields>
  <rowFields count="1">
    <field x="13"/>
  </rowFields>
  <rowItems count="4">
    <i>
      <x/>
    </i>
    <i>
      <x v="1"/>
    </i>
    <i>
      <x v="2"/>
    </i>
    <i t="grand">
      <x/>
    </i>
  </rowItems>
  <colItems count="1">
    <i/>
  </colItems>
  <dataFields count="1">
    <dataField name="Calls" fld="0" subtotal="count" baseField="13" baseItem="0"/>
  </dataFields>
  <chartFormats count="8">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3" count="1" selected="0">
            <x v="0"/>
          </reference>
        </references>
      </pivotArea>
    </chartFormat>
    <chartFormat chart="10" format="15">
      <pivotArea type="data" outline="0" fieldPosition="0">
        <references count="2">
          <reference field="4294967294" count="1" selected="0">
            <x v="0"/>
          </reference>
          <reference field="13" count="1" selected="0">
            <x v="1"/>
          </reference>
        </references>
      </pivotArea>
    </chartFormat>
    <chartFormat chart="10" format="16">
      <pivotArea type="data" outline="0" fieldPosition="0">
        <references count="2">
          <reference field="4294967294" count="1" selected="0">
            <x v="0"/>
          </reference>
          <reference field="13" count="1" selected="0">
            <x v="2"/>
          </reference>
        </references>
      </pivotArea>
    </chartFormat>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13" count="1" selected="0">
            <x v="0"/>
          </reference>
        </references>
      </pivotArea>
    </chartFormat>
    <chartFormat chart="12" format="23">
      <pivotArea type="data" outline="0" fieldPosition="0">
        <references count="2">
          <reference field="4294967294" count="1" selected="0">
            <x v="0"/>
          </reference>
          <reference field="13" count="1" selected="0">
            <x v="1"/>
          </reference>
        </references>
      </pivotArea>
    </chartFormat>
    <chartFormat chart="12" format="24">
      <pivotArea type="data" outline="0" fieldPosition="0">
        <references count="2">
          <reference field="4294967294" count="1" selected="0">
            <x v="0"/>
          </reference>
          <reference field="13"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21BE1C-1BBB-4409-AC1C-4B42E2D3B96B}" name="Sentiment VS CSA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entiment">
  <location ref="D12:G18" firstHeaderRow="0" firstDataRow="1" firstDataCol="1"/>
  <pivotFields count="17">
    <pivotField dataField="1" showAll="0"/>
    <pivotField showAll="0"/>
    <pivotField axis="axisRow" showAll="0">
      <items count="6">
        <item x="1"/>
        <item x="0"/>
        <item x="3"/>
        <item x="2"/>
        <item x="4"/>
        <item t="default"/>
      </items>
    </pivotField>
    <pivotField dataField="1" showAll="0"/>
    <pivotField numFmtId="14" showAll="0"/>
    <pivotField showAll="0">
      <items count="4">
        <item x="0"/>
        <item x="1"/>
        <item x="2"/>
        <item t="default"/>
      </items>
    </pivotField>
    <pivotField showAll="0"/>
    <pivotField showAll="0"/>
    <pivotField showAll="0">
      <items count="5">
        <item x="1"/>
        <item x="0"/>
        <item x="2"/>
        <item x="3"/>
        <item t="default"/>
      </items>
    </pivotField>
    <pivotField showAll="0"/>
    <pivotField dataField="1" showAll="0"/>
    <pivotField showAll="0">
      <items count="5">
        <item x="3"/>
        <item x="0"/>
        <item x="2"/>
        <item x="1"/>
        <item t="default"/>
      </items>
    </pivotField>
    <pivotField showAll="0"/>
    <pivotField showAll="0">
      <items count="4">
        <item x="1"/>
        <item x="0"/>
        <item x="2"/>
        <item t="default"/>
      </items>
    </pivotField>
    <pivotField showAll="0"/>
    <pivotField showAll="0"/>
    <pivotField showAll="0">
      <items count="3">
        <item x="1"/>
        <item x="0"/>
        <item t="default"/>
      </items>
    </pivotField>
  </pivotFields>
  <rowFields count="1">
    <field x="2"/>
  </rowFields>
  <rowItems count="6">
    <i>
      <x/>
    </i>
    <i>
      <x v="1"/>
    </i>
    <i>
      <x v="2"/>
    </i>
    <i>
      <x v="3"/>
    </i>
    <i>
      <x v="4"/>
    </i>
    <i t="grand">
      <x/>
    </i>
  </rowItems>
  <colFields count="1">
    <field x="-2"/>
  </colFields>
  <colItems count="3">
    <i>
      <x/>
    </i>
    <i i="1">
      <x v="1"/>
    </i>
    <i i="2">
      <x v="2"/>
    </i>
  </colItems>
  <dataFields count="3">
    <dataField name="Calls" fld="0" subtotal="count" baseField="5" baseItem="0" numFmtId="1"/>
    <dataField name="Avg CSAT" fld="3" subtotal="average" baseField="5" baseItem="0" numFmtId="2"/>
    <dataField name="Avg Duration" fld="10" subtotal="average" baseField="5" baseItem="0" numFmtId="164"/>
  </dataFields>
  <formats count="3">
    <format dxfId="17">
      <pivotArea outline="0" collapsedLevelsAreSubtotals="1" fieldPosition="0"/>
    </format>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0"/>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331445-482E-4490-9B59-BE10C461FE77}" name="Average CSAT by Channe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rowHeaderCaption="Channel">
  <location ref="A12:B17" firstHeaderRow="1" firstDataRow="1" firstDataCol="1"/>
  <pivotFields count="17">
    <pivotField showAll="0"/>
    <pivotField showAll="0"/>
    <pivotField showAll="0"/>
    <pivotField dataField="1" showAll="0"/>
    <pivotField numFmtId="14" showAll="0"/>
    <pivotField showAll="0">
      <items count="4">
        <item x="0"/>
        <item x="1"/>
        <item x="2"/>
        <item t="default"/>
      </items>
    </pivotField>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0"/>
        <item x="2"/>
        <item x="1"/>
        <item t="default"/>
      </items>
    </pivotField>
    <pivotField showAll="0"/>
    <pivotField showAll="0">
      <items count="4">
        <item x="1"/>
        <item x="0"/>
        <item x="2"/>
        <item t="default"/>
      </items>
    </pivotField>
    <pivotField showAll="0"/>
    <pivotField showAll="0"/>
    <pivotField showAll="0">
      <items count="3">
        <item x="1"/>
        <item x="0"/>
        <item t="default"/>
      </items>
    </pivotField>
  </pivotFields>
  <rowFields count="1">
    <field x="8"/>
  </rowFields>
  <rowItems count="5">
    <i>
      <x/>
    </i>
    <i>
      <x v="2"/>
    </i>
    <i>
      <x v="3"/>
    </i>
    <i>
      <x v="1"/>
    </i>
    <i t="grand">
      <x/>
    </i>
  </rowItems>
  <colItems count="1">
    <i/>
  </colItems>
  <dataFields count="1">
    <dataField name="Average CSAT" fld="3" subtotal="average" baseField="8" baseItem="0" numFmtId="2"/>
  </dataFields>
  <formats count="1">
    <format dxfId="18">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7308A5-0849-4193-9781-12D83BA7DB1D}" name="Call Center Performanc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rowHeaderCaption="Call Center">
  <location ref="A20:B25" firstHeaderRow="1" firstDataRow="1" firstDataCol="1"/>
  <pivotFields count="17">
    <pivotField showAll="0"/>
    <pivotField showAll="0"/>
    <pivotField showAll="0"/>
    <pivotField dataField="1" showAll="0"/>
    <pivotField numFmtId="14" showAll="0"/>
    <pivotField showAll="0">
      <items count="4">
        <item x="0"/>
        <item x="1"/>
        <item x="2"/>
        <item t="default"/>
      </items>
    </pivotField>
    <pivotField showAll="0"/>
    <pivotField showAll="0"/>
    <pivotField showAll="0">
      <items count="5">
        <item x="1"/>
        <item x="0"/>
        <item x="2"/>
        <item x="3"/>
        <item t="default"/>
      </items>
    </pivotField>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items count="3">
        <item x="1"/>
        <item x="0"/>
        <item t="default"/>
      </items>
    </pivotField>
  </pivotFields>
  <rowFields count="1">
    <field x="11"/>
  </rowFields>
  <rowItems count="5">
    <i>
      <x v="3"/>
    </i>
    <i>
      <x/>
    </i>
    <i>
      <x v="1"/>
    </i>
    <i>
      <x v="2"/>
    </i>
    <i t="grand">
      <x/>
    </i>
  </rowItems>
  <colItems count="1">
    <i/>
  </colItems>
  <dataFields count="1">
    <dataField name="Avg CSAT" fld="3" subtotal="average" baseField="9" baseItem="0" numFmtId="2"/>
  </dataFields>
  <formats count="1">
    <format dxfId="19">
      <pivotArea outline="0" collapsedLevelsAreSubtotals="1" fieldPosition="0"/>
    </format>
  </formats>
  <chartFormats count="7">
    <chartFormat chart="12" format="7"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1" count="1" selected="0">
            <x v="1"/>
          </reference>
        </references>
      </pivotArea>
    </chartFormat>
    <chartFormat chart="17" format="4">
      <pivotArea type="data" outline="0" fieldPosition="0">
        <references count="2">
          <reference field="4294967294" count="1" selected="0">
            <x v="0"/>
          </reference>
          <reference field="11" count="1" selected="0">
            <x v="2"/>
          </reference>
        </references>
      </pivotArea>
    </chartFormat>
    <chartFormat chart="17" format="5">
      <pivotArea type="data" outline="0" fieldPosition="0">
        <references count="2">
          <reference field="4294967294" count="1" selected="0">
            <x v="0"/>
          </reference>
          <reference field="11" count="1" selected="0">
            <x v="0"/>
          </reference>
        </references>
      </pivotArea>
    </chartFormat>
    <chartFormat chart="17" format="6">
      <pivotArea type="data" outline="0" fieldPosition="0">
        <references count="2">
          <reference field="4294967294" count="1" selected="0">
            <x v="0"/>
          </reference>
          <reference field="11" count="1" selected="0">
            <x v="3"/>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63E229-66A4-41CC-B557-D03619BD99BF}" name="SLA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rowHeaderCaption="SLA Status">
  <location ref="D20:E23" firstHeaderRow="1" firstDataRow="1" firstDataCol="1"/>
  <pivotFields count="17">
    <pivotField showAll="0"/>
    <pivotField showAll="0"/>
    <pivotField showAll="0"/>
    <pivotField dataField="1" showAll="0"/>
    <pivotField numFmtId="14" showAll="0"/>
    <pivotField showAll="0">
      <items count="4">
        <item x="0"/>
        <item x="1"/>
        <item x="2"/>
        <item t="default"/>
      </items>
    </pivotField>
    <pivotField showAll="0"/>
    <pivotField showAll="0"/>
    <pivotField showAll="0">
      <items count="5">
        <item x="1"/>
        <item x="0"/>
        <item x="2"/>
        <item x="3"/>
        <item t="default"/>
      </items>
    </pivotField>
    <pivotField showAll="0"/>
    <pivotField showAll="0"/>
    <pivotField showAll="0">
      <items count="5">
        <item x="3"/>
        <item x="0"/>
        <item x="2"/>
        <item x="1"/>
        <item t="default"/>
      </items>
    </pivotField>
    <pivotField showAll="0"/>
    <pivotField showAll="0">
      <items count="4">
        <item x="1"/>
        <item x="0"/>
        <item x="2"/>
        <item t="default"/>
      </items>
    </pivotField>
    <pivotField showAll="0"/>
    <pivotField showAll="0"/>
    <pivotField axis="axisRow" showAll="0">
      <items count="3">
        <item x="1"/>
        <item x="0"/>
        <item t="default"/>
      </items>
    </pivotField>
  </pivotFields>
  <rowFields count="1">
    <field x="16"/>
  </rowFields>
  <rowItems count="3">
    <i>
      <x/>
    </i>
    <i>
      <x v="1"/>
    </i>
    <i t="grand">
      <x/>
    </i>
  </rowItems>
  <colItems count="1">
    <i/>
  </colItems>
  <dataFields count="1">
    <dataField name="Avg CSAT" fld="3" subtotal="average" baseField="16" baseItem="0" numFmtId="2"/>
  </dataFields>
  <formats count="4">
    <format dxfId="23">
      <pivotArea collapsedLevelsAreSubtotals="1" fieldPosition="0">
        <references count="1">
          <reference field="16" count="1">
            <x v="0"/>
          </reference>
        </references>
      </pivotArea>
    </format>
    <format dxfId="22">
      <pivotArea collapsedLevelsAreSubtotals="1" fieldPosition="0">
        <references count="1">
          <reference field="16" count="1">
            <x v="1"/>
          </reference>
        </references>
      </pivotArea>
    </format>
    <format dxfId="21">
      <pivotArea grandRow="1" outline="0" collapsedLevelsAreSubtotals="1" fieldPosition="0"/>
    </format>
    <format dxfId="20">
      <pivotArea outline="0" collapsedLevelsAreSubtotals="1" fieldPosition="0"/>
    </format>
  </formats>
  <chartFormats count="6">
    <chartFormat chart="5" format="7"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6" count="1" selected="0">
            <x v="1"/>
          </reference>
        </references>
      </pivotArea>
    </chartFormat>
    <chartFormat chart="19" format="7">
      <pivotArea type="data" outline="0" fieldPosition="0">
        <references count="2">
          <reference field="4294967294" count="1" selected="0">
            <x v="0"/>
          </reference>
          <reference field="16"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49CAE0-3F79-4F04-9F2D-590F281F3869}" name="Calls by Stat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te">
  <location ref="L6:M36" firstHeaderRow="1" firstDataRow="1" firstDataCol="1"/>
  <pivotFields count="17">
    <pivotField dataField="1" showAll="0"/>
    <pivotField showAll="0"/>
    <pivotField showAll="0"/>
    <pivotField showAll="0"/>
    <pivotField numFmtId="14" showAll="0"/>
    <pivotField showAll="0">
      <items count="4">
        <item x="0"/>
        <item x="1"/>
        <item x="2"/>
        <item t="default"/>
      </items>
    </pivotField>
    <pivotField showAll="0"/>
    <pivotField axis="axisRow"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showAll="0"/>
    <pivotField showAll="0"/>
    <pivotField showAll="0">
      <items count="5">
        <item x="3"/>
        <item x="0"/>
        <item x="2"/>
        <item x="1"/>
        <item t="default"/>
      </items>
    </pivotField>
    <pivotField showAll="0"/>
    <pivotField showAll="0">
      <items count="4">
        <item x="1"/>
        <item x="0"/>
        <item x="2"/>
        <item t="default"/>
      </items>
    </pivotField>
    <pivotField showAll="0"/>
    <pivotField showAll="0"/>
    <pivotField showAll="0">
      <items count="3">
        <item x="1"/>
        <item x="0"/>
        <item t="default"/>
      </items>
    </pivotField>
  </pivotFields>
  <rowFields count="1">
    <field x="7"/>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alls" fld="0" subtotal="count" baseField="7" baseItem="0"/>
  </dataField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4464AE-C92E-429F-85AA-81EFC2CD7081}" name="Calls &amp; CSAT by Reas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rowHeaderCaption="Reason">
  <location ref="D6:E10" firstHeaderRow="1" firstDataRow="1" firstDataCol="1"/>
  <pivotFields count="17">
    <pivotField dataField="1" showAll="0"/>
    <pivotField showAll="0"/>
    <pivotField showAll="0"/>
    <pivotField showAll="0"/>
    <pivotField numFmtId="14"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0"/>
        <item x="2"/>
        <item x="3"/>
        <item t="default"/>
      </items>
    </pivotField>
    <pivotField showAll="0"/>
    <pivotField showAll="0"/>
    <pivotField showAll="0">
      <items count="5">
        <item x="3"/>
        <item x="0"/>
        <item x="2"/>
        <item x="1"/>
        <item t="default"/>
      </items>
    </pivotField>
    <pivotField showAll="0"/>
    <pivotField showAll="0">
      <items count="4">
        <item x="1"/>
        <item x="0"/>
        <item x="2"/>
        <item t="default"/>
      </items>
    </pivotField>
    <pivotField showAll="0"/>
    <pivotField showAll="0"/>
    <pivotField showAll="0">
      <items count="3">
        <item x="1"/>
        <item x="0"/>
        <item t="default"/>
      </items>
    </pivotField>
  </pivotFields>
  <rowFields count="1">
    <field x="5"/>
  </rowFields>
  <rowItems count="4">
    <i>
      <x v="2"/>
    </i>
    <i>
      <x v="1"/>
    </i>
    <i>
      <x/>
    </i>
    <i t="grand">
      <x/>
    </i>
  </rowItems>
  <colItems count="1">
    <i/>
  </colItems>
  <dataFields count="1">
    <dataField name="Calls" fld="0" subtotal="count" baseField="5" baseItem="0" numFmtId="1"/>
  </dataFields>
  <formats count="2">
    <format dxfId="25">
      <pivotArea outline="0" collapsedLevelsAreSubtotals="1" fieldPosition="0"/>
    </format>
    <format dxfId="24">
      <pivotArea outline="0" collapsedLevelsAreSubtotals="1" fieldPosition="0">
        <references count="1">
          <reference field="4294967294" count="1" selected="0">
            <x v="0"/>
          </reference>
        </references>
      </pivotArea>
    </format>
  </formats>
  <chartFormats count="4">
    <chartFormat chart="8"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4" format="12" series="1">
      <pivotArea type="data" outline="0" fieldPosition="0">
        <references count="1">
          <reference field="4294967294" count="1" selected="0">
            <x v="0"/>
          </reference>
        </references>
      </pivotArea>
    </chartFormat>
    <chartFormat chart="26" format="1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CB25E5-9B5F-4DA8-85B6-4B325EAF35B1}" name="Daily Call Volum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rowHeaderCaption="Call TimeStamp">
  <location ref="I6:J38" firstHeaderRow="1" firstDataRow="1" firstDataCol="1"/>
  <pivotFields count="17">
    <pivotField dataField="1"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0"/>
        <item x="1"/>
        <item x="2"/>
        <item t="default"/>
      </items>
    </pivotField>
    <pivotField showAll="0"/>
    <pivotField showAll="0"/>
    <pivotField showAll="0">
      <items count="5">
        <item x="1"/>
        <item x="0"/>
        <item x="2"/>
        <item x="3"/>
        <item t="default"/>
      </items>
    </pivotField>
    <pivotField showAll="0"/>
    <pivotField showAll="0"/>
    <pivotField showAll="0">
      <items count="5">
        <item x="3"/>
        <item x="0"/>
        <item x="2"/>
        <item x="1"/>
        <item t="default"/>
      </items>
    </pivotField>
    <pivotField showAll="0"/>
    <pivotField showAll="0">
      <items count="4">
        <item x="1"/>
        <item x="0"/>
        <item x="2"/>
        <item t="default"/>
      </items>
    </pivotField>
    <pivotField showAll="0"/>
    <pivotField showAll="0"/>
    <pivotField showAll="0">
      <items count="3">
        <item x="1"/>
        <item x="0"/>
        <item t="default"/>
      </items>
    </pivotField>
  </pivotFields>
  <rowFields count="1">
    <field x="4"/>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alls" fld="0" subtotal="count" baseField="2" baseItem="0"/>
  </dataFields>
  <chartFormats count="3">
    <chartFormat chart="12"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A1F709-DD86-48DE-B044-37EEFCD6833B}" name="SLA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SLA Status">
  <location ref="K19:M22" firstHeaderRow="0" firstDataRow="1" firstDataCol="1"/>
  <pivotFields count="17">
    <pivotField dataField="1" showAll="0"/>
    <pivotField showAll="0"/>
    <pivotField showAll="0"/>
    <pivotField dataField="1" showAll="0"/>
    <pivotField numFmtId="14" showAll="0"/>
    <pivotField showAll="0">
      <items count="4">
        <item x="0"/>
        <item x="1"/>
        <item x="2"/>
        <item t="default"/>
      </items>
    </pivotField>
    <pivotField showAll="0"/>
    <pivotField showAll="0"/>
    <pivotField showAll="0">
      <items count="5">
        <item x="1"/>
        <item x="0"/>
        <item x="2"/>
        <item x="3"/>
        <item t="default"/>
      </items>
    </pivotField>
    <pivotField showAll="0"/>
    <pivotField showAll="0"/>
    <pivotField showAll="0">
      <items count="5">
        <item x="3"/>
        <item x="0"/>
        <item x="2"/>
        <item x="1"/>
        <item t="default"/>
      </items>
    </pivotField>
    <pivotField showAll="0"/>
    <pivotField showAll="0">
      <items count="4">
        <item x="1"/>
        <item x="0"/>
        <item x="2"/>
        <item t="default"/>
      </items>
    </pivotField>
    <pivotField showAll="0"/>
    <pivotField showAll="0"/>
    <pivotField axis="axisRow" showAll="0">
      <items count="3">
        <item x="1"/>
        <item x="0"/>
        <item t="default"/>
      </items>
    </pivotField>
  </pivotFields>
  <rowFields count="1">
    <field x="16"/>
  </rowFields>
  <rowItems count="3">
    <i>
      <x/>
    </i>
    <i>
      <x v="1"/>
    </i>
    <i t="grand">
      <x/>
    </i>
  </rowItems>
  <colFields count="1">
    <field x="-2"/>
  </colFields>
  <colItems count="2">
    <i>
      <x/>
    </i>
    <i i="1">
      <x v="1"/>
    </i>
  </colItems>
  <dataFields count="2">
    <dataField name="Calls" fld="0" subtotal="count" baseField="16" baseItem="0" numFmtId="1"/>
    <dataField name="Avg CSAT" fld="3" subtotal="average" baseField="16" baseItem="0" numFmtId="2"/>
  </dataFields>
  <formats count="5">
    <format dxfId="5">
      <pivotArea collapsedLevelsAreSubtotals="1" fieldPosition="0">
        <references count="1">
          <reference field="16" count="1">
            <x v="0"/>
          </reference>
        </references>
      </pivotArea>
    </format>
    <format dxfId="4">
      <pivotArea collapsedLevelsAreSubtotals="1" fieldPosition="0">
        <references count="1">
          <reference field="16" count="1">
            <x v="1"/>
          </reference>
        </references>
      </pivotArea>
    </format>
    <format dxfId="3">
      <pivotArea grandRow="1" outline="0" collapsedLevelsAreSubtotals="1" fieldPosition="0"/>
    </format>
    <format dxfId="2">
      <pivotArea outline="0" collapsedLevelsAreSubtotals="1" fieldPosition="0"/>
    </format>
    <format dxfId="1">
      <pivotArea outline="0" collapsedLevelsAreSubtotals="1" fieldPosition="0">
        <references count="1">
          <reference field="4294967294" count="1" selected="0">
            <x v="0"/>
          </reference>
        </references>
      </pivotArea>
    </format>
  </formats>
  <chartFormats count="3">
    <chartFormat chart="5" format="7"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1"/>
          </reference>
        </references>
      </pivotArea>
    </chartFormat>
    <chartFormat chart="1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9460E6-B8DA-4B94-9EBC-0C94A232ED0C}" name="Call Center Performanc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rowHeaderCaption="Call Center">
  <location ref="A32:B37" firstHeaderRow="1" firstDataRow="1" firstDataCol="1"/>
  <pivotFields count="17">
    <pivotField showAll="0"/>
    <pivotField showAll="0"/>
    <pivotField showAll="0"/>
    <pivotField dataField="1" showAll="0"/>
    <pivotField numFmtId="14" showAll="0"/>
    <pivotField showAll="0">
      <items count="4">
        <item x="0"/>
        <item x="1"/>
        <item x="2"/>
        <item t="default"/>
      </items>
    </pivotField>
    <pivotField showAll="0"/>
    <pivotField showAll="0"/>
    <pivotField showAll="0">
      <items count="5">
        <item x="1"/>
        <item x="0"/>
        <item x="2"/>
        <item x="3"/>
        <item t="default"/>
      </items>
    </pivotField>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items count="3">
        <item x="1"/>
        <item x="0"/>
        <item t="default"/>
      </items>
    </pivotField>
  </pivotFields>
  <rowFields count="1">
    <field x="11"/>
  </rowFields>
  <rowItems count="5">
    <i>
      <x v="3"/>
    </i>
    <i>
      <x/>
    </i>
    <i>
      <x v="1"/>
    </i>
    <i>
      <x v="2"/>
    </i>
    <i t="grand">
      <x/>
    </i>
  </rowItems>
  <colItems count="1">
    <i/>
  </colItems>
  <dataFields count="1">
    <dataField name="Avg CSAT" fld="3" subtotal="average" baseField="9" baseItem="0" numFmtId="2"/>
  </dataFields>
  <formats count="1">
    <format dxfId="6">
      <pivotArea outline="0" collapsedLevelsAreSubtotals="1" fieldPosition="0"/>
    </format>
  </formats>
  <chartFormats count="2">
    <chartFormat chart="12" format="7"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599BF4-1465-4D81-951A-87A9906D5248}" name="Average CSAT by Channe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Channel">
  <location ref="A19:B24" firstHeaderRow="1" firstDataRow="1" firstDataCol="1"/>
  <pivotFields count="17">
    <pivotField showAll="0"/>
    <pivotField showAll="0"/>
    <pivotField showAll="0"/>
    <pivotField dataField="1" showAll="0"/>
    <pivotField numFmtId="14" showAll="0"/>
    <pivotField showAll="0">
      <items count="4">
        <item x="0"/>
        <item x="1"/>
        <item x="2"/>
        <item t="default"/>
      </items>
    </pivotField>
    <pivotField showAll="0"/>
    <pivotField showAll="0"/>
    <pivotField axis="axisRow" showAll="0">
      <items count="5">
        <item x="1"/>
        <item x="0"/>
        <item x="2"/>
        <item x="3"/>
        <item t="default"/>
      </items>
    </pivotField>
    <pivotField showAll="0"/>
    <pivotField showAll="0"/>
    <pivotField showAll="0">
      <items count="5">
        <item x="3"/>
        <item x="0"/>
        <item x="2"/>
        <item x="1"/>
        <item t="default"/>
      </items>
    </pivotField>
    <pivotField showAll="0"/>
    <pivotField showAll="0">
      <items count="4">
        <item x="1"/>
        <item x="0"/>
        <item x="2"/>
        <item t="default"/>
      </items>
    </pivotField>
    <pivotField showAll="0"/>
    <pivotField showAll="0"/>
    <pivotField showAll="0">
      <items count="3">
        <item x="1"/>
        <item x="0"/>
        <item t="default"/>
      </items>
    </pivotField>
  </pivotFields>
  <rowFields count="1">
    <field x="8"/>
  </rowFields>
  <rowItems count="5">
    <i>
      <x/>
    </i>
    <i>
      <x v="1"/>
    </i>
    <i>
      <x v="2"/>
    </i>
    <i>
      <x v="3"/>
    </i>
    <i t="grand">
      <x/>
    </i>
  </rowItems>
  <colItems count="1">
    <i/>
  </colItems>
  <dataFields count="1">
    <dataField name="Average CSAT" fld="3" subtotal="average" baseField="8" baseItem="0" numFmtId="2"/>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9532524-EFEA-42C5-B3A9-5ED9F933AB9C}" name="Calls by Stat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State">
  <location ref="AI5:AJ35" firstHeaderRow="1" firstDataRow="1" firstDataCol="1"/>
  <pivotFields count="17">
    <pivotField dataField="1" showAll="0"/>
    <pivotField showAll="0"/>
    <pivotField showAll="0"/>
    <pivotField showAll="0"/>
    <pivotField numFmtId="14" showAll="0"/>
    <pivotField showAll="0">
      <items count="4">
        <item x="0"/>
        <item x="1"/>
        <item x="2"/>
        <item t="default"/>
      </items>
    </pivotField>
    <pivotField showAll="0"/>
    <pivotField axis="axisRow" showAll="0" sortType="descending">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showAll="0">
      <items count="5">
        <item x="3"/>
        <item x="0"/>
        <item x="2"/>
        <item x="1"/>
        <item t="default"/>
      </items>
    </pivotField>
    <pivotField showAll="0"/>
    <pivotField showAll="0">
      <items count="4">
        <item x="1"/>
        <item x="0"/>
        <item x="2"/>
        <item t="default"/>
      </items>
    </pivotField>
    <pivotField showAll="0"/>
    <pivotField showAll="0"/>
    <pivotField showAll="0">
      <items count="3">
        <item x="1"/>
        <item x="0"/>
        <item t="default"/>
      </items>
    </pivotField>
  </pivotFields>
  <rowFields count="1">
    <field x="7"/>
  </rowFields>
  <rowItems count="30">
    <i>
      <x v="3"/>
    </i>
    <i>
      <x v="24"/>
    </i>
    <i>
      <x v="6"/>
    </i>
    <i>
      <x v="9"/>
    </i>
    <i>
      <x v="20"/>
    </i>
    <i>
      <x v="15"/>
    </i>
    <i>
      <x v="18"/>
    </i>
    <i>
      <x v="17"/>
    </i>
    <i>
      <x/>
    </i>
    <i>
      <x v="5"/>
    </i>
    <i>
      <x v="27"/>
    </i>
    <i>
      <x v="10"/>
    </i>
    <i>
      <x v="2"/>
    </i>
    <i>
      <x v="25"/>
    </i>
    <i>
      <x v="21"/>
    </i>
    <i>
      <x v="19"/>
    </i>
    <i>
      <x v="1"/>
    </i>
    <i>
      <x v="4"/>
    </i>
    <i>
      <x v="8"/>
    </i>
    <i>
      <x v="16"/>
    </i>
    <i>
      <x v="22"/>
    </i>
    <i>
      <x v="23"/>
    </i>
    <i>
      <x v="7"/>
    </i>
    <i>
      <x v="11"/>
    </i>
    <i>
      <x v="26"/>
    </i>
    <i>
      <x v="12"/>
    </i>
    <i>
      <x v="28"/>
    </i>
    <i>
      <x v="13"/>
    </i>
    <i>
      <x v="14"/>
    </i>
    <i t="grand">
      <x/>
    </i>
  </rowItems>
  <colItems count="1">
    <i/>
  </colItems>
  <dataFields count="1">
    <dataField name="Calls" fld="0" subtotal="count" baseField="7"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D32FAE-3C2C-4985-8A0B-471FFC8E28FB}" name="Sentiment VS CSA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rowHeaderCaption="Sentiment">
  <location ref="K32:N38" firstHeaderRow="0" firstDataRow="1" firstDataCol="1"/>
  <pivotFields count="17">
    <pivotField dataField="1" showAll="0"/>
    <pivotField showAll="0"/>
    <pivotField axis="axisRow" showAll="0">
      <items count="6">
        <item x="1"/>
        <item x="0"/>
        <item x="3"/>
        <item x="2"/>
        <item x="4"/>
        <item t="default"/>
      </items>
    </pivotField>
    <pivotField dataField="1" showAll="0"/>
    <pivotField numFmtId="14" showAll="0"/>
    <pivotField showAll="0">
      <items count="4">
        <item x="0"/>
        <item x="1"/>
        <item x="2"/>
        <item t="default"/>
      </items>
    </pivotField>
    <pivotField showAll="0"/>
    <pivotField showAll="0"/>
    <pivotField showAll="0">
      <items count="5">
        <item x="1"/>
        <item x="0"/>
        <item x="2"/>
        <item x="3"/>
        <item t="default"/>
      </items>
    </pivotField>
    <pivotField showAll="0"/>
    <pivotField dataField="1" showAll="0"/>
    <pivotField showAll="0">
      <items count="5">
        <item x="3"/>
        <item x="0"/>
        <item x="2"/>
        <item x="1"/>
        <item t="default"/>
      </items>
    </pivotField>
    <pivotField showAll="0"/>
    <pivotField showAll="0">
      <items count="4">
        <item x="1"/>
        <item x="0"/>
        <item x="2"/>
        <item t="default"/>
      </items>
    </pivotField>
    <pivotField showAll="0"/>
    <pivotField showAll="0"/>
    <pivotField showAll="0">
      <items count="3">
        <item x="1"/>
        <item x="0"/>
        <item t="default"/>
      </items>
    </pivotField>
  </pivotFields>
  <rowFields count="1">
    <field x="2"/>
  </rowFields>
  <rowItems count="6">
    <i>
      <x/>
    </i>
    <i>
      <x v="1"/>
    </i>
    <i>
      <x v="2"/>
    </i>
    <i>
      <x v="3"/>
    </i>
    <i>
      <x v="4"/>
    </i>
    <i t="grand">
      <x/>
    </i>
  </rowItems>
  <colFields count="1">
    <field x="-2"/>
  </colFields>
  <colItems count="3">
    <i>
      <x/>
    </i>
    <i i="1">
      <x v="1"/>
    </i>
    <i i="2">
      <x v="2"/>
    </i>
  </colItems>
  <dataFields count="3">
    <dataField name="Calls" fld="0" subtotal="count" baseField="5" baseItem="0" numFmtId="1"/>
    <dataField name="Avg CSAT" fld="3" subtotal="average" baseField="5" baseItem="0" numFmtId="2"/>
    <dataField name="Avg Duration" fld="10" subtotal="average" baseField="5" baseItem="0" numFmtId="164"/>
  </dataFields>
  <formats count="3">
    <format dxfId="10">
      <pivotArea outline="0" collapsedLevelsAreSubtotals="1" fieldPosition="0"/>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0"/>
          </reference>
        </references>
      </pivotArea>
    </format>
  </formats>
  <chartFormats count="18">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6" format="3">
      <pivotArea type="data" outline="0" fieldPosition="0">
        <references count="2">
          <reference field="4294967294" count="1" selected="0">
            <x v="0"/>
          </reference>
          <reference field="2" count="1" selected="0">
            <x v="0"/>
          </reference>
        </references>
      </pivotArea>
    </chartFormat>
    <chartFormat chart="16" format="4">
      <pivotArea type="data" outline="0" fieldPosition="0">
        <references count="2">
          <reference field="4294967294" count="1" selected="0">
            <x v="0"/>
          </reference>
          <reference field="2" count="1" selected="0">
            <x v="4"/>
          </reference>
        </references>
      </pivotArea>
    </chartFormat>
    <chartFormat chart="16" format="5">
      <pivotArea type="data" outline="0" fieldPosition="0">
        <references count="2">
          <reference field="4294967294" count="1" selected="0">
            <x v="0"/>
          </reference>
          <reference field="2" count="1" selected="0">
            <x v="3"/>
          </reference>
        </references>
      </pivotArea>
    </chartFormat>
    <chartFormat chart="16" format="6">
      <pivotArea type="data" outline="0" fieldPosition="0">
        <references count="2">
          <reference field="4294967294" count="1" selected="0">
            <x v="0"/>
          </reference>
          <reference field="2" count="1" selected="0">
            <x v="2"/>
          </reference>
        </references>
      </pivotArea>
    </chartFormat>
    <chartFormat chart="16" format="7">
      <pivotArea type="data" outline="0" fieldPosition="0">
        <references count="2">
          <reference field="4294967294" count="1" selected="0">
            <x v="0"/>
          </reference>
          <reference field="2" count="1" selected="0">
            <x v="1"/>
          </reference>
        </references>
      </pivotArea>
    </chartFormat>
    <chartFormat chart="16" format="8">
      <pivotArea type="data" outline="0" fieldPosition="0">
        <references count="2">
          <reference field="4294967294" count="1" selected="0">
            <x v="1"/>
          </reference>
          <reference field="2" count="1" selected="0">
            <x v="0"/>
          </reference>
        </references>
      </pivotArea>
    </chartFormat>
    <chartFormat chart="16" format="9">
      <pivotArea type="data" outline="0" fieldPosition="0">
        <references count="2">
          <reference field="4294967294" count="1" selected="0">
            <x v="1"/>
          </reference>
          <reference field="2" count="1" selected="0">
            <x v="1"/>
          </reference>
        </references>
      </pivotArea>
    </chartFormat>
    <chartFormat chart="16" format="10">
      <pivotArea type="data" outline="0" fieldPosition="0">
        <references count="2">
          <reference field="4294967294" count="1" selected="0">
            <x v="1"/>
          </reference>
          <reference field="2" count="1" selected="0">
            <x v="2"/>
          </reference>
        </references>
      </pivotArea>
    </chartFormat>
    <chartFormat chart="16" format="11">
      <pivotArea type="data" outline="0" fieldPosition="0">
        <references count="2">
          <reference field="4294967294" count="1" selected="0">
            <x v="1"/>
          </reference>
          <reference field="2" count="1" selected="0">
            <x v="3"/>
          </reference>
        </references>
      </pivotArea>
    </chartFormat>
    <chartFormat chart="16" format="12">
      <pivotArea type="data" outline="0" fieldPosition="0">
        <references count="2">
          <reference field="4294967294" count="1" selected="0">
            <x v="1"/>
          </reference>
          <reference field="2" count="1" selected="0">
            <x v="4"/>
          </reference>
        </references>
      </pivotArea>
    </chartFormat>
    <chartFormat chart="16" format="13">
      <pivotArea type="data" outline="0" fieldPosition="0">
        <references count="2">
          <reference field="4294967294" count="1" selected="0">
            <x v="2"/>
          </reference>
          <reference field="2" count="1" selected="0">
            <x v="0"/>
          </reference>
        </references>
      </pivotArea>
    </chartFormat>
    <chartFormat chart="16" format="14">
      <pivotArea type="data" outline="0" fieldPosition="0">
        <references count="2">
          <reference field="4294967294" count="1" selected="0">
            <x v="2"/>
          </reference>
          <reference field="2" count="1" selected="0">
            <x v="1"/>
          </reference>
        </references>
      </pivotArea>
    </chartFormat>
    <chartFormat chart="16" format="15">
      <pivotArea type="data" outline="0" fieldPosition="0">
        <references count="2">
          <reference field="4294967294" count="1" selected="0">
            <x v="2"/>
          </reference>
          <reference field="2" count="1" selected="0">
            <x v="2"/>
          </reference>
        </references>
      </pivotArea>
    </chartFormat>
    <chartFormat chart="16" format="16">
      <pivotArea type="data" outline="0" fieldPosition="0">
        <references count="2">
          <reference field="4294967294" count="1" selected="0">
            <x v="2"/>
          </reference>
          <reference field="2" count="1" selected="0">
            <x v="3"/>
          </reference>
        </references>
      </pivotArea>
    </chartFormat>
    <chartFormat chart="16" format="17">
      <pivotArea type="data" outline="0" fieldPosition="0">
        <references count="2">
          <reference field="4294967294" count="1" selected="0">
            <x v="2"/>
          </reference>
          <reference field="2" count="1" selected="0">
            <x v="4"/>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4F6A88-8B77-4953-83F2-F7FDE04A49CA}" name="Calls &amp; CSAT by Reas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rowHeaderCaption="Reason">
  <location ref="K5:M9" firstHeaderRow="0" firstDataRow="1" firstDataCol="1"/>
  <pivotFields count="17">
    <pivotField dataField="1" showAll="0"/>
    <pivotField showAll="0"/>
    <pivotField showAll="0"/>
    <pivotField showAll="0"/>
    <pivotField numFmtId="14" showAll="0"/>
    <pivotField axis="axisRow" showAll="0" sortType="de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pivotField showAll="0">
      <items count="5">
        <item x="1"/>
        <item x="0"/>
        <item x="2"/>
        <item x="3"/>
        <item t="default"/>
      </items>
    </pivotField>
    <pivotField showAll="0"/>
    <pivotField dataField="1" showAll="0"/>
    <pivotField showAll="0">
      <items count="5">
        <item x="3"/>
        <item x="0"/>
        <item x="2"/>
        <item x="1"/>
        <item t="default"/>
      </items>
    </pivotField>
    <pivotField showAll="0"/>
    <pivotField showAll="0">
      <items count="4">
        <item x="1"/>
        <item x="0"/>
        <item x="2"/>
        <item t="default"/>
      </items>
    </pivotField>
    <pivotField showAll="0"/>
    <pivotField showAll="0"/>
    <pivotField showAll="0">
      <items count="3">
        <item x="1"/>
        <item x="0"/>
        <item t="default"/>
      </items>
    </pivotField>
  </pivotFields>
  <rowFields count="1">
    <field x="5"/>
  </rowFields>
  <rowItems count="4">
    <i>
      <x v="2"/>
    </i>
    <i>
      <x/>
    </i>
    <i>
      <x v="1"/>
    </i>
    <i t="grand">
      <x/>
    </i>
  </rowItems>
  <colFields count="1">
    <field x="-2"/>
  </colFields>
  <colItems count="2">
    <i>
      <x/>
    </i>
    <i i="1">
      <x v="1"/>
    </i>
  </colItems>
  <dataFields count="2">
    <dataField name="Calls" fld="0" subtotal="count" baseField="5" baseItem="0" numFmtId="1"/>
    <dataField name="Avg Duration" fld="10" subtotal="average" baseField="5" baseItem="2" numFmtId="164"/>
  </dataFields>
  <formats count="3">
    <format dxfId="13">
      <pivotArea outline="0" collapsedLevelsAreSubtotals="1" fieldPosition="0"/>
    </format>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1"/>
          </reference>
        </references>
      </pivotArea>
    </format>
  </formats>
  <chartFormats count="6">
    <chartFormat chart="8" format="6"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278C8DF-B11A-46F1-8A3C-021C09C4016F}" name="Daily Call Volum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8" rowHeaderCaption="Call TimeStamp">
  <location ref="W5:X37" firstHeaderRow="1" firstDataRow="1" firstDataCol="1"/>
  <pivotFields count="17">
    <pivotField dataField="1"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0"/>
        <item x="1"/>
        <item x="2"/>
        <item t="default"/>
      </items>
    </pivotField>
    <pivotField showAll="0"/>
    <pivotField showAll="0"/>
    <pivotField showAll="0">
      <items count="5">
        <item x="1"/>
        <item x="0"/>
        <item x="2"/>
        <item x="3"/>
        <item t="default"/>
      </items>
    </pivotField>
    <pivotField showAll="0"/>
    <pivotField showAll="0"/>
    <pivotField showAll="0">
      <items count="5">
        <item x="3"/>
        <item x="0"/>
        <item x="2"/>
        <item x="1"/>
        <item t="default"/>
      </items>
    </pivotField>
    <pivotField showAll="0"/>
    <pivotField showAll="0">
      <items count="4">
        <item x="1"/>
        <item x="0"/>
        <item x="2"/>
        <item t="default"/>
      </items>
    </pivotField>
    <pivotField showAll="0"/>
    <pivotField showAll="0"/>
    <pivotField showAll="0">
      <items count="3">
        <item x="1"/>
        <item x="0"/>
        <item t="default"/>
      </items>
    </pivotField>
  </pivotFields>
  <rowFields count="1">
    <field x="4"/>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alls" fld="0" subtotal="count" baseField="2" baseItem="0"/>
  </dataFields>
  <chartFormats count="6">
    <chartFormat chart="12"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4" count="1" selected="0">
            <x v="1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4629A2-DE7C-4F25-A211-0A357F88A2D1}" name="Sentiment Grou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Sentiment">
  <location ref="A5:B9" firstHeaderRow="1" firstDataRow="1" firstDataCol="1"/>
  <pivotFields count="17">
    <pivotField dataField="1" showAll="0"/>
    <pivotField showAll="0"/>
    <pivotField showAll="0"/>
    <pivotField showAll="0"/>
    <pivotField numFmtId="14" showAll="0"/>
    <pivotField showAll="0">
      <items count="4">
        <item x="0"/>
        <item x="1"/>
        <item x="2"/>
        <item t="default"/>
      </items>
    </pivotField>
    <pivotField showAll="0"/>
    <pivotField showAll="0"/>
    <pivotField showAll="0">
      <items count="5">
        <item x="1"/>
        <item x="0"/>
        <item x="2"/>
        <item x="3"/>
        <item t="default"/>
      </items>
    </pivotField>
    <pivotField showAll="0"/>
    <pivotField showAll="0"/>
    <pivotField showAll="0">
      <items count="5">
        <item x="3"/>
        <item x="0"/>
        <item x="2"/>
        <item x="1"/>
        <item t="default"/>
      </items>
    </pivotField>
    <pivotField showAll="0"/>
    <pivotField axis="axisRow" showAll="0">
      <items count="4">
        <item x="1"/>
        <item x="0"/>
        <item x="2"/>
        <item t="default"/>
      </items>
    </pivotField>
    <pivotField showAll="0"/>
    <pivotField showAll="0"/>
    <pivotField showAll="0">
      <items count="3">
        <item x="1"/>
        <item x="0"/>
        <item t="default"/>
      </items>
    </pivotField>
  </pivotFields>
  <rowFields count="1">
    <field x="13"/>
  </rowFields>
  <rowItems count="4">
    <i>
      <x/>
    </i>
    <i>
      <x v="1"/>
    </i>
    <i>
      <x v="2"/>
    </i>
    <i t="grand">
      <x/>
    </i>
  </rowItems>
  <colItems count="1">
    <i/>
  </colItems>
  <dataFields count="1">
    <dataField name="Calls" fld="0" subtotal="count" baseField="13" baseItem="0"/>
  </dataFields>
  <formats count="2">
    <format dxfId="14">
      <pivotArea outline="0" collapsedLevelsAreSubtotals="1" fieldPosition="0"/>
    </format>
    <format dxfId="0">
      <pivotArea outline="0" fieldPosition="0">
        <references count="1">
          <reference field="4294967294" count="1">
            <x v="0"/>
          </reference>
        </references>
      </pivotArea>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3" count="1" selected="0">
            <x v="0"/>
          </reference>
        </references>
      </pivotArea>
    </chartFormat>
    <chartFormat chart="5" format="7">
      <pivotArea type="data" outline="0" fieldPosition="0">
        <references count="2">
          <reference field="4294967294" count="1" selected="0">
            <x v="0"/>
          </reference>
          <reference field="13" count="1" selected="0">
            <x v="1"/>
          </reference>
        </references>
      </pivotArea>
    </chartFormat>
    <chartFormat chart="5" format="8">
      <pivotArea type="data" outline="0" fieldPosition="0">
        <references count="2">
          <reference field="4294967294" count="1" selected="0">
            <x v="0"/>
          </reference>
          <reference field="13"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_Group" xr10:uid="{2FE0EC0C-6CC9-4A9D-BADE-D208103F2085}" sourceName="Sentiment Group">
  <pivotTables>
    <pivotTable tabId="5" name="Sentiment Group"/>
    <pivotTable tabId="5" name="Call Center Performance"/>
    <pivotTable tabId="5" name="Calls &amp; CSAT by Reason"/>
    <pivotTable tabId="5" name="Daily Call Volume"/>
    <pivotTable tabId="5" name="Sentiment VS CSAT"/>
    <pivotTable tabId="5" name="SLA Status"/>
    <pivotTable tabId="5" name="Average CSAT by Channel"/>
    <pivotTable tabId="7" name="Sentiment Group"/>
    <pivotTable tabId="7" name="Calls &amp; CSAT by Reason"/>
    <pivotTable tabId="7" name="Average CSAT by Channel"/>
    <pivotTable tabId="7" name="Call Center Performance"/>
    <pivotTable tabId="7" name="SLA Status"/>
    <pivotTable tabId="7" name="Daily Call Volume"/>
    <pivotTable tabId="7" name="Sentiment VS CSAT"/>
    <pivotTable tabId="5" name="Calls by State"/>
    <pivotTable tabId="7" name="Calls by State"/>
  </pivotTables>
  <data>
    <tabular pivotCacheId="97495168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50E0DE2-AB94-48DF-8C5F-F012971F6B10}" sourceName="Channel">
  <pivotTables>
    <pivotTable tabId="5" name="Call Center Performance"/>
    <pivotTable tabId="5" name="Calls &amp; CSAT by Reason"/>
    <pivotTable tabId="5" name="Daily Call Volume"/>
    <pivotTable tabId="5" name="Sentiment Group"/>
    <pivotTable tabId="5" name="Sentiment VS CSAT"/>
    <pivotTable tabId="5" name="SLA Status"/>
    <pivotTable tabId="5" name="Average CSAT by Channel"/>
    <pivotTable tabId="7" name="Sentiment Group"/>
    <pivotTable tabId="7" name="Calls &amp; CSAT by Reason"/>
    <pivotTable tabId="7" name="Average CSAT by Channel"/>
    <pivotTable tabId="7" name="Call Center Performance"/>
    <pivotTable tabId="7" name="SLA Status"/>
    <pivotTable tabId="7" name="Daily Call Volume"/>
    <pivotTable tabId="7" name="Sentiment VS CSAT"/>
    <pivotTable tabId="5" name="Calls by State"/>
    <pivotTable tabId="7" name="Calls by State"/>
  </pivotTables>
  <data>
    <tabular pivotCacheId="974951683">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 xr10:uid="{0E9E7FE4-42BD-4946-A7D0-DAA539C4E824}" sourceName="Reason">
  <pivotTables>
    <pivotTable tabId="5" name="Calls &amp; CSAT by Reason"/>
    <pivotTable tabId="5" name="Call Center Performance"/>
    <pivotTable tabId="5" name="Daily Call Volume"/>
    <pivotTable tabId="5" name="Sentiment Group"/>
    <pivotTable tabId="5" name="Sentiment VS CSAT"/>
    <pivotTable tabId="5" name="SLA Status"/>
    <pivotTable tabId="5" name="Average CSAT by Channel"/>
    <pivotTable tabId="7" name="Sentiment Group"/>
    <pivotTable tabId="7" name="Calls &amp; CSAT by Reason"/>
    <pivotTable tabId="7" name="Average CSAT by Channel"/>
    <pivotTable tabId="7" name="Call Center Performance"/>
    <pivotTable tabId="7" name="SLA Status"/>
    <pivotTable tabId="7" name="Daily Call Volume"/>
    <pivotTable tabId="7" name="Sentiment VS CSAT"/>
    <pivotTable tabId="5" name="Calls by State"/>
    <pivotTable tabId="7" name="Calls by State"/>
  </pivotTables>
  <data>
    <tabular pivotCacheId="97495168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Center" xr10:uid="{0EA56141-EE42-4EBE-81FE-A376662B5C57}" sourceName="Call Center">
  <pivotTables>
    <pivotTable tabId="5" name="Call Center Performance"/>
    <pivotTable tabId="5" name="Calls &amp; CSAT by Reason"/>
    <pivotTable tabId="5" name="Daily Call Volume"/>
    <pivotTable tabId="5" name="Sentiment Group"/>
    <pivotTable tabId="5" name="Sentiment VS CSAT"/>
    <pivotTable tabId="5" name="SLA Status"/>
    <pivotTable tabId="5" name="Average CSAT by Channel"/>
    <pivotTable tabId="7" name="Sentiment Group"/>
    <pivotTable tabId="7" name="Calls &amp; CSAT by Reason"/>
    <pivotTable tabId="7" name="Average CSAT by Channel"/>
    <pivotTable tabId="7" name="Call Center Performance"/>
    <pivotTable tabId="7" name="SLA Status"/>
    <pivotTable tabId="7" name="Daily Call Volume"/>
    <pivotTable tabId="7" name="Sentiment VS CSAT"/>
    <pivotTable tabId="5" name="Calls by State"/>
    <pivotTable tabId="7" name="Calls by State"/>
  </pivotTables>
  <data>
    <tabular pivotCacheId="974951683">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Status" xr10:uid="{B7FD28D0-C453-4F44-B725-C319D3704CD1}" sourceName="SLA Status">
  <pivotTables>
    <pivotTable tabId="5" name="Call Center Performance"/>
    <pivotTable tabId="5" name="Calls &amp; CSAT by Reason"/>
    <pivotTable tabId="5" name="Daily Call Volume"/>
    <pivotTable tabId="5" name="Sentiment Group"/>
    <pivotTable tabId="5" name="Sentiment VS CSAT"/>
    <pivotTable tabId="5" name="SLA Status"/>
    <pivotTable tabId="5" name="Average CSAT by Channel"/>
    <pivotTable tabId="7" name="Sentiment Group"/>
    <pivotTable tabId="7" name="Calls &amp; CSAT by Reason"/>
    <pivotTable tabId="7" name="Average CSAT by Channel"/>
    <pivotTable tabId="7" name="Call Center Performance"/>
    <pivotTable tabId="7" name="SLA Status"/>
    <pivotTable tabId="7" name="Daily Call Volume"/>
    <pivotTable tabId="7" name="Sentiment VS CSAT"/>
    <pivotTable tabId="5" name="Calls by State"/>
    <pivotTable tabId="7" name="Calls by State"/>
  </pivotTables>
  <data>
    <tabular pivotCacheId="97495168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timent Group" xr10:uid="{41CB79DC-4744-4C70-B4AD-0E503A2CF726}" cache="Slicer_Sentiment_Group" caption="Sentiment Group" style="SlicerStyleDark6" rowHeight="241300"/>
  <slicer name="Channel 1" xr10:uid="{786EB138-5505-4EAA-9805-D36117BA18B2}" cache="Slicer_Channel" caption="Channel" style="SlicerStyleDark4" rowHeight="220133"/>
  <slicer name="Reason" xr10:uid="{BD6AE47F-0AB9-4661-A9C4-7B739C675404}" cache="Slicer_Reason" caption="Reason" style="SlicerStyleDark1" rowHeight="241300"/>
  <slicer name="Call Center" xr10:uid="{3392EC65-EE11-4005-95BB-668FC0116312}" cache="Slicer_Call_Center" caption="Call Center" style="SlicerStyleDark6" rowHeight="241300"/>
  <slicer name="SLA Status" xr10:uid="{EAC86EA9-8633-42F5-A2CC-43BE4D971484}" cache="Slicer_SLA_Status" caption="SLA Status"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openxmlformats.org/officeDocument/2006/relationships/drawing" Target="../drawings/drawing1.xml"/><Relationship Id="rId4" Type="http://schemas.openxmlformats.org/officeDocument/2006/relationships/pivotTable" Target="../pivotTables/pivotTable12.xml"/><Relationship Id="rId9"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A715-4477-4FBA-B91C-8E6D607270F7}">
  <dimension ref="B2:N76"/>
  <sheetViews>
    <sheetView showGridLines="0" workbookViewId="0">
      <selection activeCell="P11" sqref="P11"/>
    </sheetView>
  </sheetViews>
  <sheetFormatPr defaultColWidth="9" defaultRowHeight="14.5" x14ac:dyDescent="0.35"/>
  <cols>
    <col min="1" max="1" width="3.7265625" style="2" customWidth="1"/>
    <col min="2" max="2" width="15.26953125" style="2" customWidth="1"/>
    <col min="3" max="3" width="21.26953125" style="2" customWidth="1"/>
    <col min="4" max="4" width="13.7265625" style="2" customWidth="1"/>
    <col min="5" max="5" width="8.6328125" style="2" customWidth="1"/>
    <col min="6" max="6" width="14.7265625" style="2" customWidth="1"/>
    <col min="7" max="7" width="15.36328125" style="2" customWidth="1"/>
    <col min="8" max="8" width="17.26953125" style="2" customWidth="1"/>
    <col min="9" max="9" width="18.7265625" style="2" customWidth="1"/>
    <col min="10" max="10" width="11.26953125" style="2" customWidth="1"/>
    <col min="11" max="11" width="14.453125" style="2" customWidth="1"/>
    <col min="12" max="12" width="14" style="2" customWidth="1"/>
    <col min="13" max="13" width="15" style="2" customWidth="1"/>
    <col min="14" max="14" width="10.453125" style="2" customWidth="1"/>
    <col min="15" max="16384" width="9" style="2"/>
  </cols>
  <sheetData>
    <row r="2" spans="2:14" ht="19" thickBot="1" x14ac:dyDescent="0.4">
      <c r="B2" s="1" t="s">
        <v>0</v>
      </c>
      <c r="C2" s="1"/>
      <c r="D2" s="1"/>
      <c r="E2" s="1"/>
      <c r="F2" s="1"/>
      <c r="G2" s="1"/>
      <c r="H2" s="1"/>
      <c r="I2" s="1"/>
      <c r="J2" s="1"/>
      <c r="K2" s="1"/>
      <c r="L2" s="1"/>
      <c r="M2" s="1"/>
    </row>
    <row r="4" spans="2:14" ht="19" thickBot="1" x14ac:dyDescent="0.4">
      <c r="B4" s="3" t="s">
        <v>1</v>
      </c>
      <c r="C4" s="1"/>
      <c r="D4" s="1"/>
      <c r="E4" s="1"/>
      <c r="F4" s="1"/>
      <c r="G4" s="1"/>
      <c r="H4" s="1"/>
      <c r="I4" s="1"/>
      <c r="J4" s="1"/>
      <c r="K4" s="1"/>
      <c r="L4" s="1"/>
      <c r="M4" s="1"/>
    </row>
    <row r="6" spans="2:14" ht="33.75" customHeight="1" x14ac:dyDescent="0.35">
      <c r="B6" s="4" t="s">
        <v>2</v>
      </c>
      <c r="C6" s="4" t="s">
        <v>3</v>
      </c>
      <c r="D6" s="4" t="s">
        <v>4</v>
      </c>
      <c r="E6" s="4" t="s">
        <v>5</v>
      </c>
      <c r="F6" s="4" t="s">
        <v>6</v>
      </c>
      <c r="G6" s="4" t="s">
        <v>7</v>
      </c>
      <c r="H6" s="4" t="s">
        <v>8</v>
      </c>
      <c r="I6" s="4" t="s">
        <v>9</v>
      </c>
      <c r="J6" s="4" t="s">
        <v>10</v>
      </c>
      <c r="K6" s="4" t="s">
        <v>11</v>
      </c>
      <c r="L6" s="4" t="s">
        <v>12</v>
      </c>
      <c r="M6" s="4" t="s">
        <v>13</v>
      </c>
    </row>
    <row r="7" spans="2:14" x14ac:dyDescent="0.35">
      <c r="B7" s="5" t="s">
        <v>14</v>
      </c>
      <c r="C7" s="5" t="s">
        <v>15</v>
      </c>
      <c r="D7" s="5" t="s">
        <v>16</v>
      </c>
      <c r="E7" s="5">
        <v>8</v>
      </c>
      <c r="F7" s="6">
        <v>45292</v>
      </c>
      <c r="G7" s="5" t="s">
        <v>17</v>
      </c>
      <c r="H7" s="5" t="s">
        <v>18</v>
      </c>
      <c r="I7" s="5" t="s">
        <v>19</v>
      </c>
      <c r="J7" s="5" t="s">
        <v>20</v>
      </c>
      <c r="K7" s="5" t="s">
        <v>21</v>
      </c>
      <c r="L7" s="5">
        <v>14</v>
      </c>
      <c r="M7" s="5" t="s">
        <v>22</v>
      </c>
      <c r="N7" s="7"/>
    </row>
    <row r="8" spans="2:14" x14ac:dyDescent="0.35">
      <c r="B8" s="5" t="s">
        <v>23</v>
      </c>
      <c r="C8" s="5" t="s">
        <v>24</v>
      </c>
      <c r="D8" s="5" t="s">
        <v>25</v>
      </c>
      <c r="E8" s="5">
        <v>5</v>
      </c>
      <c r="F8" s="6">
        <v>45292</v>
      </c>
      <c r="G8" s="5" t="s">
        <v>17</v>
      </c>
      <c r="H8" s="5" t="s">
        <v>26</v>
      </c>
      <c r="I8" s="5" t="s">
        <v>27</v>
      </c>
      <c r="J8" s="5" t="s">
        <v>28</v>
      </c>
      <c r="K8" s="5" t="s">
        <v>21</v>
      </c>
      <c r="L8" s="5">
        <v>32</v>
      </c>
      <c r="M8" s="5" t="s">
        <v>29</v>
      </c>
      <c r="N8" s="7"/>
    </row>
    <row r="9" spans="2:14" x14ac:dyDescent="0.35">
      <c r="B9" s="5" t="s">
        <v>30</v>
      </c>
      <c r="C9" s="5" t="s">
        <v>31</v>
      </c>
      <c r="D9" s="5" t="s">
        <v>25</v>
      </c>
      <c r="E9" s="5">
        <v>3</v>
      </c>
      <c r="F9" s="6">
        <v>45293</v>
      </c>
      <c r="G9" s="5" t="s">
        <v>17</v>
      </c>
      <c r="H9" s="5" t="s">
        <v>32</v>
      </c>
      <c r="I9" s="5" t="s">
        <v>33</v>
      </c>
      <c r="J9" s="5" t="s">
        <v>20</v>
      </c>
      <c r="K9" s="5" t="s">
        <v>21</v>
      </c>
      <c r="L9" s="5">
        <v>6</v>
      </c>
      <c r="M9" s="5" t="s">
        <v>34</v>
      </c>
      <c r="N9" s="7"/>
    </row>
    <row r="10" spans="2:14" x14ac:dyDescent="0.35">
      <c r="B10" s="5" t="s">
        <v>35</v>
      </c>
      <c r="C10" s="5" t="s">
        <v>36</v>
      </c>
      <c r="D10" s="5" t="s">
        <v>37</v>
      </c>
      <c r="E10" s="5">
        <v>4</v>
      </c>
      <c r="F10" s="6">
        <v>45293</v>
      </c>
      <c r="G10" s="5" t="s">
        <v>17</v>
      </c>
      <c r="H10" s="5" t="s">
        <v>38</v>
      </c>
      <c r="I10" s="5" t="s">
        <v>39</v>
      </c>
      <c r="J10" s="5" t="s">
        <v>40</v>
      </c>
      <c r="K10" s="5" t="s">
        <v>41</v>
      </c>
      <c r="L10" s="5">
        <v>26</v>
      </c>
      <c r="M10" s="5" t="s">
        <v>29</v>
      </c>
      <c r="N10" s="7"/>
    </row>
    <row r="11" spans="2:14" x14ac:dyDescent="0.35">
      <c r="B11" s="5" t="s">
        <v>42</v>
      </c>
      <c r="C11" s="5" t="s">
        <v>43</v>
      </c>
      <c r="D11" s="5" t="s">
        <v>44</v>
      </c>
      <c r="E11" s="5">
        <v>8</v>
      </c>
      <c r="F11" s="6">
        <v>45293</v>
      </c>
      <c r="G11" s="5" t="s">
        <v>17</v>
      </c>
      <c r="H11" s="5" t="s">
        <v>45</v>
      </c>
      <c r="I11" s="5" t="s">
        <v>46</v>
      </c>
      <c r="J11" s="5" t="s">
        <v>47</v>
      </c>
      <c r="K11" s="5" t="s">
        <v>21</v>
      </c>
      <c r="L11" s="5">
        <v>26</v>
      </c>
      <c r="M11" s="5" t="s">
        <v>29</v>
      </c>
      <c r="N11" s="7"/>
    </row>
    <row r="12" spans="2:14" x14ac:dyDescent="0.35">
      <c r="B12" s="5" t="s">
        <v>48</v>
      </c>
      <c r="C12" s="5" t="s">
        <v>49</v>
      </c>
      <c r="D12" s="5" t="s">
        <v>37</v>
      </c>
      <c r="E12" s="5">
        <v>4</v>
      </c>
      <c r="F12" s="6">
        <v>45294</v>
      </c>
      <c r="G12" s="5" t="s">
        <v>17</v>
      </c>
      <c r="H12" s="5" t="s">
        <v>18</v>
      </c>
      <c r="I12" s="5" t="s">
        <v>50</v>
      </c>
      <c r="J12" s="5" t="s">
        <v>47</v>
      </c>
      <c r="K12" s="5" t="s">
        <v>21</v>
      </c>
      <c r="L12" s="5">
        <v>6</v>
      </c>
      <c r="M12" s="5" t="s">
        <v>51</v>
      </c>
      <c r="N12" s="7"/>
    </row>
    <row r="13" spans="2:14" x14ac:dyDescent="0.35">
      <c r="B13" s="5" t="s">
        <v>52</v>
      </c>
      <c r="C13" s="5" t="s">
        <v>53</v>
      </c>
      <c r="D13" s="5" t="s">
        <v>54</v>
      </c>
      <c r="E13" s="5">
        <v>10</v>
      </c>
      <c r="F13" s="6">
        <v>45294</v>
      </c>
      <c r="G13" s="5" t="s">
        <v>55</v>
      </c>
      <c r="H13" s="5" t="s">
        <v>56</v>
      </c>
      <c r="I13" s="5" t="s">
        <v>39</v>
      </c>
      <c r="J13" s="5" t="s">
        <v>28</v>
      </c>
      <c r="K13" s="5" t="s">
        <v>21</v>
      </c>
      <c r="L13" s="5">
        <v>9</v>
      </c>
      <c r="M13" s="5" t="s">
        <v>29</v>
      </c>
      <c r="N13" s="7"/>
    </row>
    <row r="14" spans="2:14" x14ac:dyDescent="0.35">
      <c r="B14" s="5" t="s">
        <v>57</v>
      </c>
      <c r="C14" s="5" t="s">
        <v>58</v>
      </c>
      <c r="D14" s="5" t="s">
        <v>25</v>
      </c>
      <c r="E14" s="5">
        <v>3</v>
      </c>
      <c r="F14" s="6">
        <v>45295</v>
      </c>
      <c r="G14" s="5" t="s">
        <v>17</v>
      </c>
      <c r="H14" s="5" t="s">
        <v>59</v>
      </c>
      <c r="I14" s="5" t="s">
        <v>60</v>
      </c>
      <c r="J14" s="5" t="s">
        <v>28</v>
      </c>
      <c r="K14" s="5" t="s">
        <v>21</v>
      </c>
      <c r="L14" s="5">
        <v>15</v>
      </c>
      <c r="M14" s="5" t="s">
        <v>51</v>
      </c>
      <c r="N14" s="7"/>
    </row>
    <row r="15" spans="2:14" x14ac:dyDescent="0.35">
      <c r="B15" s="5" t="s">
        <v>61</v>
      </c>
      <c r="C15" s="5" t="s">
        <v>62</v>
      </c>
      <c r="D15" s="5" t="s">
        <v>25</v>
      </c>
      <c r="E15" s="5">
        <v>3</v>
      </c>
      <c r="F15" s="6">
        <v>45295</v>
      </c>
      <c r="G15" s="5" t="s">
        <v>17</v>
      </c>
      <c r="H15" s="5" t="s">
        <v>63</v>
      </c>
      <c r="I15" s="5" t="s">
        <v>64</v>
      </c>
      <c r="J15" s="5" t="s">
        <v>47</v>
      </c>
      <c r="K15" s="5" t="s">
        <v>21</v>
      </c>
      <c r="L15" s="5">
        <v>12</v>
      </c>
      <c r="M15" s="5" t="s">
        <v>29</v>
      </c>
      <c r="N15" s="7"/>
    </row>
    <row r="16" spans="2:14" x14ac:dyDescent="0.35">
      <c r="B16" s="5" t="s">
        <v>65</v>
      </c>
      <c r="C16" s="5" t="s">
        <v>66</v>
      </c>
      <c r="D16" s="5" t="s">
        <v>25</v>
      </c>
      <c r="E16" s="5">
        <v>6</v>
      </c>
      <c r="F16" s="6">
        <v>45296</v>
      </c>
      <c r="G16" s="5" t="s">
        <v>17</v>
      </c>
      <c r="H16" s="5" t="s">
        <v>67</v>
      </c>
      <c r="I16" s="5" t="s">
        <v>33</v>
      </c>
      <c r="J16" s="5" t="s">
        <v>47</v>
      </c>
      <c r="K16" s="5" t="s">
        <v>21</v>
      </c>
      <c r="L16" s="5">
        <v>42</v>
      </c>
      <c r="M16" s="5" t="s">
        <v>29</v>
      </c>
      <c r="N16" s="7"/>
    </row>
    <row r="17" spans="2:14" x14ac:dyDescent="0.35">
      <c r="B17" s="5" t="s">
        <v>68</v>
      </c>
      <c r="C17" s="5" t="s">
        <v>69</v>
      </c>
      <c r="D17" s="5" t="s">
        <v>25</v>
      </c>
      <c r="E17" s="5">
        <v>3</v>
      </c>
      <c r="F17" s="6">
        <v>45296</v>
      </c>
      <c r="G17" s="5" t="s">
        <v>17</v>
      </c>
      <c r="H17" s="5" t="s">
        <v>70</v>
      </c>
      <c r="I17" s="5" t="s">
        <v>71</v>
      </c>
      <c r="J17" s="5" t="s">
        <v>20</v>
      </c>
      <c r="K17" s="5" t="s">
        <v>72</v>
      </c>
      <c r="L17" s="5">
        <v>44</v>
      </c>
      <c r="M17" s="5" t="s">
        <v>51</v>
      </c>
      <c r="N17" s="7"/>
    </row>
    <row r="18" spans="2:14" x14ac:dyDescent="0.35">
      <c r="B18" s="5" t="s">
        <v>73</v>
      </c>
      <c r="C18" s="5" t="s">
        <v>74</v>
      </c>
      <c r="D18" s="5" t="s">
        <v>16</v>
      </c>
      <c r="E18" s="5">
        <v>7</v>
      </c>
      <c r="F18" s="6">
        <v>45297</v>
      </c>
      <c r="G18" s="5" t="s">
        <v>17</v>
      </c>
      <c r="H18" s="5" t="s">
        <v>75</v>
      </c>
      <c r="I18" s="5" t="s">
        <v>19</v>
      </c>
      <c r="J18" s="5" t="s">
        <v>20</v>
      </c>
      <c r="K18" s="5" t="s">
        <v>21</v>
      </c>
      <c r="L18" s="5">
        <v>29</v>
      </c>
      <c r="M18" s="5" t="s">
        <v>51</v>
      </c>
      <c r="N18" s="7"/>
    </row>
    <row r="19" spans="2:14" x14ac:dyDescent="0.35">
      <c r="B19" s="5" t="s">
        <v>76</v>
      </c>
      <c r="C19" s="5" t="s">
        <v>77</v>
      </c>
      <c r="D19" s="5" t="s">
        <v>25</v>
      </c>
      <c r="E19" s="5">
        <v>5</v>
      </c>
      <c r="F19" s="6">
        <v>45297</v>
      </c>
      <c r="G19" s="5" t="s">
        <v>17</v>
      </c>
      <c r="H19" s="5" t="s">
        <v>78</v>
      </c>
      <c r="I19" s="5" t="s">
        <v>79</v>
      </c>
      <c r="J19" s="5" t="s">
        <v>20</v>
      </c>
      <c r="K19" s="5" t="s">
        <v>21</v>
      </c>
      <c r="L19" s="5">
        <v>35</v>
      </c>
      <c r="M19" s="5" t="s">
        <v>51</v>
      </c>
      <c r="N19" s="7"/>
    </row>
    <row r="20" spans="2:14" x14ac:dyDescent="0.35">
      <c r="B20" s="5" t="s">
        <v>80</v>
      </c>
      <c r="C20" s="5" t="s">
        <v>81</v>
      </c>
      <c r="D20" s="5" t="s">
        <v>37</v>
      </c>
      <c r="E20" s="5">
        <v>2</v>
      </c>
      <c r="F20" s="6">
        <v>45298</v>
      </c>
      <c r="G20" s="5" t="s">
        <v>17</v>
      </c>
      <c r="H20" s="5" t="s">
        <v>82</v>
      </c>
      <c r="I20" s="5" t="s">
        <v>83</v>
      </c>
      <c r="J20" s="5" t="s">
        <v>47</v>
      </c>
      <c r="K20" s="5" t="s">
        <v>21</v>
      </c>
      <c r="L20" s="5">
        <v>30</v>
      </c>
      <c r="M20" s="5" t="s">
        <v>29</v>
      </c>
      <c r="N20" s="7"/>
    </row>
    <row r="21" spans="2:14" x14ac:dyDescent="0.35">
      <c r="B21" s="5" t="s">
        <v>84</v>
      </c>
      <c r="C21" s="5" t="s">
        <v>85</v>
      </c>
      <c r="D21" s="5" t="s">
        <v>25</v>
      </c>
      <c r="E21" s="5">
        <v>6</v>
      </c>
      <c r="F21" s="6">
        <v>45298</v>
      </c>
      <c r="G21" s="5" t="s">
        <v>55</v>
      </c>
      <c r="H21" s="5" t="s">
        <v>86</v>
      </c>
      <c r="I21" s="5" t="s">
        <v>87</v>
      </c>
      <c r="J21" s="5" t="s">
        <v>28</v>
      </c>
      <c r="K21" s="5" t="s">
        <v>21</v>
      </c>
      <c r="L21" s="5">
        <v>29</v>
      </c>
      <c r="M21" s="5" t="s">
        <v>29</v>
      </c>
      <c r="N21" s="7"/>
    </row>
    <row r="22" spans="2:14" x14ac:dyDescent="0.35">
      <c r="B22" s="5" t="s">
        <v>88</v>
      </c>
      <c r="C22" s="5" t="s">
        <v>89</v>
      </c>
      <c r="D22" s="5" t="s">
        <v>44</v>
      </c>
      <c r="E22" s="5">
        <v>9</v>
      </c>
      <c r="F22" s="6">
        <v>45299</v>
      </c>
      <c r="G22" s="5" t="s">
        <v>55</v>
      </c>
      <c r="H22" s="5" t="s">
        <v>90</v>
      </c>
      <c r="I22" s="5" t="s">
        <v>71</v>
      </c>
      <c r="J22" s="5" t="s">
        <v>28</v>
      </c>
      <c r="K22" s="5" t="s">
        <v>21</v>
      </c>
      <c r="L22" s="5">
        <v>9</v>
      </c>
      <c r="M22" s="5" t="s">
        <v>51</v>
      </c>
      <c r="N22" s="7"/>
    </row>
    <row r="23" spans="2:14" x14ac:dyDescent="0.35">
      <c r="B23" s="5" t="s">
        <v>91</v>
      </c>
      <c r="C23" s="5" t="s">
        <v>92</v>
      </c>
      <c r="D23" s="5" t="s">
        <v>54</v>
      </c>
      <c r="E23" s="5">
        <v>9</v>
      </c>
      <c r="F23" s="6">
        <v>45299</v>
      </c>
      <c r="G23" s="5" t="s">
        <v>17</v>
      </c>
      <c r="H23" s="5" t="s">
        <v>93</v>
      </c>
      <c r="I23" s="5" t="s">
        <v>94</v>
      </c>
      <c r="J23" s="5" t="s">
        <v>20</v>
      </c>
      <c r="K23" s="5" t="s">
        <v>21</v>
      </c>
      <c r="L23" s="5">
        <v>8</v>
      </c>
      <c r="M23" s="5" t="s">
        <v>29</v>
      </c>
      <c r="N23" s="7"/>
    </row>
    <row r="24" spans="2:14" x14ac:dyDescent="0.35">
      <c r="B24" s="5" t="s">
        <v>95</v>
      </c>
      <c r="C24" s="5" t="s">
        <v>96</v>
      </c>
      <c r="D24" s="5" t="s">
        <v>37</v>
      </c>
      <c r="E24" s="5">
        <v>3</v>
      </c>
      <c r="F24" s="6">
        <v>45299</v>
      </c>
      <c r="G24" s="5" t="s">
        <v>17</v>
      </c>
      <c r="H24" s="5" t="s">
        <v>97</v>
      </c>
      <c r="I24" s="5" t="s">
        <v>98</v>
      </c>
      <c r="J24" s="5" t="s">
        <v>20</v>
      </c>
      <c r="K24" s="5" t="s">
        <v>72</v>
      </c>
      <c r="L24" s="5">
        <v>35</v>
      </c>
      <c r="M24" s="5" t="s">
        <v>22</v>
      </c>
      <c r="N24" s="7"/>
    </row>
    <row r="25" spans="2:14" x14ac:dyDescent="0.35">
      <c r="B25" s="5" t="s">
        <v>99</v>
      </c>
      <c r="C25" s="5" t="s">
        <v>100</v>
      </c>
      <c r="D25" s="5" t="s">
        <v>44</v>
      </c>
      <c r="E25" s="5">
        <v>7</v>
      </c>
      <c r="F25" s="6">
        <v>45299</v>
      </c>
      <c r="G25" s="5" t="s">
        <v>17</v>
      </c>
      <c r="H25" s="5" t="s">
        <v>101</v>
      </c>
      <c r="I25" s="5" t="s">
        <v>102</v>
      </c>
      <c r="J25" s="5" t="s">
        <v>47</v>
      </c>
      <c r="K25" s="5" t="s">
        <v>21</v>
      </c>
      <c r="L25" s="5">
        <v>20</v>
      </c>
      <c r="M25" s="5" t="s">
        <v>51</v>
      </c>
      <c r="N25" s="7"/>
    </row>
    <row r="26" spans="2:14" x14ac:dyDescent="0.35">
      <c r="B26" s="5" t="s">
        <v>103</v>
      </c>
      <c r="C26" s="5" t="s">
        <v>104</v>
      </c>
      <c r="D26" s="5" t="s">
        <v>25</v>
      </c>
      <c r="E26" s="5">
        <v>3</v>
      </c>
      <c r="F26" s="6">
        <v>45300</v>
      </c>
      <c r="G26" s="5" t="s">
        <v>17</v>
      </c>
      <c r="H26" s="5" t="s">
        <v>105</v>
      </c>
      <c r="I26" s="5" t="s">
        <v>106</v>
      </c>
      <c r="J26" s="5" t="s">
        <v>47</v>
      </c>
      <c r="K26" s="5" t="s">
        <v>21</v>
      </c>
      <c r="L26" s="5">
        <v>31</v>
      </c>
      <c r="M26" s="5" t="s">
        <v>29</v>
      </c>
      <c r="N26" s="7"/>
    </row>
    <row r="27" spans="2:14" x14ac:dyDescent="0.35">
      <c r="B27" s="5" t="s">
        <v>107</v>
      </c>
      <c r="C27" s="5" t="s">
        <v>108</v>
      </c>
      <c r="D27" s="5" t="s">
        <v>16</v>
      </c>
      <c r="E27" s="5">
        <v>5</v>
      </c>
      <c r="F27" s="6">
        <v>45300</v>
      </c>
      <c r="G27" s="5" t="s">
        <v>17</v>
      </c>
      <c r="H27" s="5" t="s">
        <v>109</v>
      </c>
      <c r="I27" s="5" t="s">
        <v>39</v>
      </c>
      <c r="J27" s="5" t="s">
        <v>40</v>
      </c>
      <c r="K27" s="5" t="s">
        <v>41</v>
      </c>
      <c r="L27" s="5">
        <v>39</v>
      </c>
      <c r="M27" s="5" t="s">
        <v>29</v>
      </c>
      <c r="N27" s="7"/>
    </row>
    <row r="28" spans="2:14" x14ac:dyDescent="0.35">
      <c r="B28" s="5" t="s">
        <v>110</v>
      </c>
      <c r="C28" s="5" t="s">
        <v>111</v>
      </c>
      <c r="D28" s="5" t="s">
        <v>25</v>
      </c>
      <c r="E28" s="5">
        <v>3</v>
      </c>
      <c r="F28" s="6">
        <v>45301</v>
      </c>
      <c r="G28" s="5" t="s">
        <v>17</v>
      </c>
      <c r="H28" s="5" t="s">
        <v>112</v>
      </c>
      <c r="I28" s="5" t="s">
        <v>33</v>
      </c>
      <c r="J28" s="5" t="s">
        <v>28</v>
      </c>
      <c r="K28" s="5" t="s">
        <v>21</v>
      </c>
      <c r="L28" s="5">
        <v>38</v>
      </c>
      <c r="M28" s="5" t="s">
        <v>34</v>
      </c>
      <c r="N28" s="7"/>
    </row>
    <row r="29" spans="2:14" x14ac:dyDescent="0.35">
      <c r="B29" s="5" t="s">
        <v>113</v>
      </c>
      <c r="C29" s="5" t="s">
        <v>114</v>
      </c>
      <c r="D29" s="5" t="s">
        <v>25</v>
      </c>
      <c r="E29" s="5">
        <v>4</v>
      </c>
      <c r="F29" s="6">
        <v>45301</v>
      </c>
      <c r="G29" s="5" t="s">
        <v>17</v>
      </c>
      <c r="H29" s="5" t="s">
        <v>115</v>
      </c>
      <c r="I29" s="5" t="s">
        <v>71</v>
      </c>
      <c r="J29" s="5" t="s">
        <v>28</v>
      </c>
      <c r="K29" s="5" t="s">
        <v>72</v>
      </c>
      <c r="L29" s="5">
        <v>44</v>
      </c>
      <c r="M29" s="5" t="s">
        <v>34</v>
      </c>
      <c r="N29" s="7"/>
    </row>
    <row r="30" spans="2:14" x14ac:dyDescent="0.35">
      <c r="B30" s="5" t="s">
        <v>116</v>
      </c>
      <c r="C30" s="5" t="s">
        <v>117</v>
      </c>
      <c r="D30" s="5" t="s">
        <v>37</v>
      </c>
      <c r="E30" s="5">
        <v>4</v>
      </c>
      <c r="F30" s="6">
        <v>45302</v>
      </c>
      <c r="G30" s="5" t="s">
        <v>118</v>
      </c>
      <c r="H30" s="5" t="s">
        <v>119</v>
      </c>
      <c r="I30" s="5" t="s">
        <v>33</v>
      </c>
      <c r="J30" s="5" t="s">
        <v>20</v>
      </c>
      <c r="K30" s="5" t="s">
        <v>21</v>
      </c>
      <c r="L30" s="5">
        <v>41</v>
      </c>
      <c r="M30" s="5" t="s">
        <v>22</v>
      </c>
      <c r="N30" s="7"/>
    </row>
    <row r="31" spans="2:14" x14ac:dyDescent="0.35">
      <c r="B31" s="5" t="s">
        <v>120</v>
      </c>
      <c r="C31" s="5" t="s">
        <v>121</v>
      </c>
      <c r="D31" s="5" t="s">
        <v>37</v>
      </c>
      <c r="E31" s="5">
        <v>4</v>
      </c>
      <c r="F31" s="6">
        <v>45302</v>
      </c>
      <c r="G31" s="5" t="s">
        <v>17</v>
      </c>
      <c r="H31" s="5" t="s">
        <v>122</v>
      </c>
      <c r="I31" s="5" t="s">
        <v>123</v>
      </c>
      <c r="J31" s="5" t="s">
        <v>20</v>
      </c>
      <c r="K31" s="5" t="s">
        <v>21</v>
      </c>
      <c r="L31" s="5">
        <v>7</v>
      </c>
      <c r="M31" s="5" t="s">
        <v>51</v>
      </c>
      <c r="N31" s="7"/>
    </row>
    <row r="32" spans="2:14" x14ac:dyDescent="0.35">
      <c r="B32" s="5" t="s">
        <v>124</v>
      </c>
      <c r="C32" s="5" t="s">
        <v>125</v>
      </c>
      <c r="D32" s="5" t="s">
        <v>37</v>
      </c>
      <c r="E32" s="5">
        <v>4</v>
      </c>
      <c r="F32" s="6">
        <v>45303</v>
      </c>
      <c r="G32" s="5" t="s">
        <v>17</v>
      </c>
      <c r="H32" s="5" t="s">
        <v>126</v>
      </c>
      <c r="I32" s="5" t="s">
        <v>127</v>
      </c>
      <c r="J32" s="5" t="s">
        <v>40</v>
      </c>
      <c r="K32" s="5" t="s">
        <v>21</v>
      </c>
      <c r="L32" s="5">
        <v>34</v>
      </c>
      <c r="M32" s="5" t="s">
        <v>29</v>
      </c>
      <c r="N32" s="7"/>
    </row>
    <row r="33" spans="2:14" x14ac:dyDescent="0.35">
      <c r="B33" s="5" t="s">
        <v>128</v>
      </c>
      <c r="C33" s="5" t="s">
        <v>129</v>
      </c>
      <c r="D33" s="5" t="s">
        <v>54</v>
      </c>
      <c r="E33" s="5">
        <v>10</v>
      </c>
      <c r="F33" s="6">
        <v>45303</v>
      </c>
      <c r="G33" s="5" t="s">
        <v>17</v>
      </c>
      <c r="H33" s="5" t="s">
        <v>130</v>
      </c>
      <c r="I33" s="5" t="s">
        <v>33</v>
      </c>
      <c r="J33" s="5" t="s">
        <v>47</v>
      </c>
      <c r="K33" s="5" t="s">
        <v>41</v>
      </c>
      <c r="L33" s="5">
        <v>36</v>
      </c>
      <c r="M33" s="5" t="s">
        <v>29</v>
      </c>
      <c r="N33" s="7"/>
    </row>
    <row r="34" spans="2:14" x14ac:dyDescent="0.35">
      <c r="B34" s="5" t="s">
        <v>131</v>
      </c>
      <c r="C34" s="5" t="s">
        <v>132</v>
      </c>
      <c r="D34" s="5" t="s">
        <v>16</v>
      </c>
      <c r="E34" s="5">
        <v>8</v>
      </c>
      <c r="F34" s="6">
        <v>45304</v>
      </c>
      <c r="G34" s="5" t="s">
        <v>17</v>
      </c>
      <c r="H34" s="5" t="s">
        <v>133</v>
      </c>
      <c r="I34" s="5" t="s">
        <v>39</v>
      </c>
      <c r="J34" s="5" t="s">
        <v>28</v>
      </c>
      <c r="K34" s="5" t="s">
        <v>21</v>
      </c>
      <c r="L34" s="5">
        <v>9</v>
      </c>
      <c r="M34" s="5" t="s">
        <v>22</v>
      </c>
      <c r="N34" s="7"/>
    </row>
    <row r="35" spans="2:14" x14ac:dyDescent="0.35">
      <c r="B35" s="5" t="s">
        <v>134</v>
      </c>
      <c r="C35" s="5" t="s">
        <v>135</v>
      </c>
      <c r="D35" s="5" t="s">
        <v>25</v>
      </c>
      <c r="E35" s="5">
        <v>6</v>
      </c>
      <c r="F35" s="6">
        <v>45304</v>
      </c>
      <c r="G35" s="5" t="s">
        <v>17</v>
      </c>
      <c r="H35" s="5" t="s">
        <v>136</v>
      </c>
      <c r="I35" s="5" t="s">
        <v>137</v>
      </c>
      <c r="J35" s="5" t="s">
        <v>28</v>
      </c>
      <c r="K35" s="5" t="s">
        <v>21</v>
      </c>
      <c r="L35" s="5">
        <v>39</v>
      </c>
      <c r="M35" s="5" t="s">
        <v>51</v>
      </c>
      <c r="N35" s="7"/>
    </row>
    <row r="36" spans="2:14" x14ac:dyDescent="0.35">
      <c r="B36" s="5" t="s">
        <v>138</v>
      </c>
      <c r="C36" s="5" t="s">
        <v>139</v>
      </c>
      <c r="D36" s="5" t="s">
        <v>44</v>
      </c>
      <c r="E36" s="5">
        <v>7</v>
      </c>
      <c r="F36" s="6">
        <v>45305</v>
      </c>
      <c r="G36" s="5" t="s">
        <v>17</v>
      </c>
      <c r="H36" s="5" t="s">
        <v>140</v>
      </c>
      <c r="I36" s="5" t="s">
        <v>39</v>
      </c>
      <c r="J36" s="5" t="s">
        <v>40</v>
      </c>
      <c r="K36" s="5" t="s">
        <v>21</v>
      </c>
      <c r="L36" s="5">
        <v>17</v>
      </c>
      <c r="M36" s="5" t="s">
        <v>29</v>
      </c>
      <c r="N36" s="7"/>
    </row>
    <row r="37" spans="2:14" x14ac:dyDescent="0.35">
      <c r="B37" s="5" t="s">
        <v>141</v>
      </c>
      <c r="C37" s="5" t="s">
        <v>142</v>
      </c>
      <c r="D37" s="5" t="s">
        <v>54</v>
      </c>
      <c r="E37" s="5">
        <v>10</v>
      </c>
      <c r="F37" s="6">
        <v>45305</v>
      </c>
      <c r="G37" s="5" t="s">
        <v>17</v>
      </c>
      <c r="H37" s="5" t="s">
        <v>143</v>
      </c>
      <c r="I37" s="5" t="s">
        <v>79</v>
      </c>
      <c r="J37" s="5" t="s">
        <v>47</v>
      </c>
      <c r="K37" s="5" t="s">
        <v>21</v>
      </c>
      <c r="L37" s="5">
        <v>26</v>
      </c>
      <c r="M37" s="5" t="s">
        <v>29</v>
      </c>
      <c r="N37" s="7"/>
    </row>
    <row r="38" spans="2:14" x14ac:dyDescent="0.35">
      <c r="B38" s="5" t="s">
        <v>144</v>
      </c>
      <c r="C38" s="5" t="s">
        <v>145</v>
      </c>
      <c r="D38" s="5" t="s">
        <v>16</v>
      </c>
      <c r="E38" s="5">
        <v>6</v>
      </c>
      <c r="F38" s="6">
        <v>45306</v>
      </c>
      <c r="G38" s="5" t="s">
        <v>118</v>
      </c>
      <c r="H38" s="5" t="s">
        <v>146</v>
      </c>
      <c r="I38" s="5" t="s">
        <v>33</v>
      </c>
      <c r="J38" s="5" t="s">
        <v>20</v>
      </c>
      <c r="K38" s="5" t="s">
        <v>41</v>
      </c>
      <c r="L38" s="5">
        <v>35</v>
      </c>
      <c r="M38" s="5" t="s">
        <v>51</v>
      </c>
      <c r="N38" s="7"/>
    </row>
    <row r="39" spans="2:14" x14ac:dyDescent="0.35">
      <c r="B39" s="5" t="s">
        <v>147</v>
      </c>
      <c r="C39" s="5" t="s">
        <v>148</v>
      </c>
      <c r="D39" s="5" t="s">
        <v>25</v>
      </c>
      <c r="E39" s="5">
        <v>5</v>
      </c>
      <c r="F39" s="6">
        <v>45306</v>
      </c>
      <c r="G39" s="5" t="s">
        <v>55</v>
      </c>
      <c r="H39" s="5" t="s">
        <v>149</v>
      </c>
      <c r="I39" s="5" t="s">
        <v>123</v>
      </c>
      <c r="J39" s="5" t="s">
        <v>28</v>
      </c>
      <c r="K39" s="5" t="s">
        <v>41</v>
      </c>
      <c r="L39" s="5">
        <v>25</v>
      </c>
      <c r="M39" s="5" t="s">
        <v>22</v>
      </c>
      <c r="N39" s="7"/>
    </row>
    <row r="40" spans="2:14" x14ac:dyDescent="0.35">
      <c r="B40" s="5" t="s">
        <v>150</v>
      </c>
      <c r="C40" s="5" t="s">
        <v>151</v>
      </c>
      <c r="D40" s="5" t="s">
        <v>25</v>
      </c>
      <c r="E40" s="5">
        <v>3</v>
      </c>
      <c r="F40" s="6">
        <v>45307</v>
      </c>
      <c r="G40" s="5" t="s">
        <v>118</v>
      </c>
      <c r="H40" s="5" t="s">
        <v>122</v>
      </c>
      <c r="I40" s="5" t="s">
        <v>123</v>
      </c>
      <c r="J40" s="5" t="s">
        <v>20</v>
      </c>
      <c r="K40" s="5" t="s">
        <v>21</v>
      </c>
      <c r="L40" s="5">
        <v>35</v>
      </c>
      <c r="M40" s="5" t="s">
        <v>22</v>
      </c>
      <c r="N40" s="7"/>
    </row>
    <row r="41" spans="2:14" x14ac:dyDescent="0.35">
      <c r="B41" s="5" t="s">
        <v>152</v>
      </c>
      <c r="C41" s="5" t="s">
        <v>153</v>
      </c>
      <c r="D41" s="5" t="s">
        <v>25</v>
      </c>
      <c r="E41" s="5">
        <v>3</v>
      </c>
      <c r="F41" s="6">
        <v>45307</v>
      </c>
      <c r="G41" s="5" t="s">
        <v>17</v>
      </c>
      <c r="H41" s="5" t="s">
        <v>154</v>
      </c>
      <c r="I41" s="5" t="s">
        <v>33</v>
      </c>
      <c r="J41" s="5" t="s">
        <v>28</v>
      </c>
      <c r="K41" s="5" t="s">
        <v>21</v>
      </c>
      <c r="L41" s="5">
        <v>38</v>
      </c>
      <c r="M41" s="5" t="s">
        <v>51</v>
      </c>
      <c r="N41" s="7"/>
    </row>
    <row r="42" spans="2:14" x14ac:dyDescent="0.35">
      <c r="B42" s="5" t="s">
        <v>155</v>
      </c>
      <c r="C42" s="5" t="s">
        <v>156</v>
      </c>
      <c r="D42" s="5" t="s">
        <v>25</v>
      </c>
      <c r="E42" s="5">
        <v>3</v>
      </c>
      <c r="F42" s="6">
        <v>45308</v>
      </c>
      <c r="G42" s="5" t="s">
        <v>17</v>
      </c>
      <c r="H42" s="5" t="s">
        <v>157</v>
      </c>
      <c r="I42" s="5" t="s">
        <v>158</v>
      </c>
      <c r="J42" s="5" t="s">
        <v>47</v>
      </c>
      <c r="K42" s="5" t="s">
        <v>41</v>
      </c>
      <c r="L42" s="5">
        <v>14</v>
      </c>
      <c r="M42" s="5" t="s">
        <v>29</v>
      </c>
      <c r="N42" s="7"/>
    </row>
    <row r="43" spans="2:14" x14ac:dyDescent="0.35">
      <c r="B43" s="5" t="s">
        <v>159</v>
      </c>
      <c r="C43" s="5" t="s">
        <v>160</v>
      </c>
      <c r="D43" s="5" t="s">
        <v>25</v>
      </c>
      <c r="E43" s="5">
        <v>6</v>
      </c>
      <c r="F43" s="6">
        <v>45308</v>
      </c>
      <c r="G43" s="5" t="s">
        <v>17</v>
      </c>
      <c r="H43" s="5" t="s">
        <v>70</v>
      </c>
      <c r="I43" s="5" t="s">
        <v>71</v>
      </c>
      <c r="J43" s="5" t="s">
        <v>47</v>
      </c>
      <c r="K43" s="5" t="s">
        <v>21</v>
      </c>
      <c r="L43" s="5">
        <v>43</v>
      </c>
      <c r="M43" s="5" t="s">
        <v>29</v>
      </c>
      <c r="N43" s="7"/>
    </row>
    <row r="44" spans="2:14" x14ac:dyDescent="0.35">
      <c r="B44" s="5" t="s">
        <v>161</v>
      </c>
      <c r="C44" s="5" t="s">
        <v>162</v>
      </c>
      <c r="D44" s="5" t="s">
        <v>54</v>
      </c>
      <c r="E44" s="5">
        <v>9</v>
      </c>
      <c r="F44" s="6">
        <v>45309</v>
      </c>
      <c r="G44" s="5" t="s">
        <v>17</v>
      </c>
      <c r="H44" s="5" t="s">
        <v>163</v>
      </c>
      <c r="I44" s="5" t="s">
        <v>71</v>
      </c>
      <c r="J44" s="5" t="s">
        <v>28</v>
      </c>
      <c r="K44" s="5" t="s">
        <v>21</v>
      </c>
      <c r="L44" s="5">
        <v>43</v>
      </c>
      <c r="M44" s="5" t="s">
        <v>29</v>
      </c>
      <c r="N44" s="7"/>
    </row>
    <row r="45" spans="2:14" x14ac:dyDescent="0.35">
      <c r="B45" s="5" t="s">
        <v>164</v>
      </c>
      <c r="C45" s="5" t="s">
        <v>165</v>
      </c>
      <c r="D45" s="5" t="s">
        <v>16</v>
      </c>
      <c r="E45" s="5">
        <v>6</v>
      </c>
      <c r="F45" s="6">
        <v>45309</v>
      </c>
      <c r="G45" s="5" t="s">
        <v>17</v>
      </c>
      <c r="H45" s="5" t="s">
        <v>166</v>
      </c>
      <c r="I45" s="5" t="s">
        <v>46</v>
      </c>
      <c r="J45" s="5" t="s">
        <v>47</v>
      </c>
      <c r="K45" s="5" t="s">
        <v>21</v>
      </c>
      <c r="L45" s="5">
        <v>6</v>
      </c>
      <c r="M45" s="5" t="s">
        <v>51</v>
      </c>
      <c r="N45" s="7"/>
    </row>
    <row r="46" spans="2:14" x14ac:dyDescent="0.35">
      <c r="B46" s="5" t="s">
        <v>167</v>
      </c>
      <c r="C46" s="5" t="s">
        <v>168</v>
      </c>
      <c r="D46" s="5" t="s">
        <v>44</v>
      </c>
      <c r="E46" s="5">
        <v>7</v>
      </c>
      <c r="F46" s="6">
        <v>45310</v>
      </c>
      <c r="G46" s="5" t="s">
        <v>17</v>
      </c>
      <c r="H46" s="5" t="s">
        <v>169</v>
      </c>
      <c r="I46" s="5" t="s">
        <v>170</v>
      </c>
      <c r="J46" s="5" t="s">
        <v>40</v>
      </c>
      <c r="K46" s="5" t="s">
        <v>41</v>
      </c>
      <c r="L46" s="5">
        <v>41</v>
      </c>
      <c r="M46" s="5" t="s">
        <v>29</v>
      </c>
      <c r="N46" s="7"/>
    </row>
    <row r="47" spans="2:14" x14ac:dyDescent="0.35">
      <c r="B47" s="5" t="s">
        <v>171</v>
      </c>
      <c r="C47" s="5" t="s">
        <v>172</v>
      </c>
      <c r="D47" s="5" t="s">
        <v>25</v>
      </c>
      <c r="E47" s="5">
        <v>4</v>
      </c>
      <c r="F47" s="6">
        <v>45310</v>
      </c>
      <c r="G47" s="5" t="s">
        <v>55</v>
      </c>
      <c r="H47" s="5" t="s">
        <v>173</v>
      </c>
      <c r="I47" s="5" t="s">
        <v>174</v>
      </c>
      <c r="J47" s="5" t="s">
        <v>28</v>
      </c>
      <c r="K47" s="5" t="s">
        <v>21</v>
      </c>
      <c r="L47" s="5">
        <v>27</v>
      </c>
      <c r="M47" s="5" t="s">
        <v>51</v>
      </c>
      <c r="N47" s="7"/>
    </row>
    <row r="48" spans="2:14" x14ac:dyDescent="0.35">
      <c r="B48" s="5" t="s">
        <v>175</v>
      </c>
      <c r="C48" s="5" t="s">
        <v>176</v>
      </c>
      <c r="D48" s="5" t="s">
        <v>44</v>
      </c>
      <c r="E48" s="5">
        <v>7</v>
      </c>
      <c r="F48" s="6">
        <v>45311</v>
      </c>
      <c r="G48" s="5" t="s">
        <v>55</v>
      </c>
      <c r="H48" s="5" t="s">
        <v>177</v>
      </c>
      <c r="I48" s="5" t="s">
        <v>79</v>
      </c>
      <c r="J48" s="5" t="s">
        <v>28</v>
      </c>
      <c r="K48" s="5" t="s">
        <v>21</v>
      </c>
      <c r="L48" s="5">
        <v>9</v>
      </c>
      <c r="M48" s="5" t="s">
        <v>29</v>
      </c>
      <c r="N48" s="7"/>
    </row>
    <row r="49" spans="2:14" x14ac:dyDescent="0.35">
      <c r="B49" s="5" t="s">
        <v>178</v>
      </c>
      <c r="C49" s="5" t="s">
        <v>179</v>
      </c>
      <c r="D49" s="5" t="s">
        <v>37</v>
      </c>
      <c r="E49" s="5">
        <v>4</v>
      </c>
      <c r="F49" s="6">
        <v>45311</v>
      </c>
      <c r="G49" s="5" t="s">
        <v>55</v>
      </c>
      <c r="H49" s="5" t="s">
        <v>97</v>
      </c>
      <c r="I49" s="5" t="s">
        <v>98</v>
      </c>
      <c r="J49" s="5" t="s">
        <v>28</v>
      </c>
      <c r="K49" s="5" t="s">
        <v>21</v>
      </c>
      <c r="L49" s="5">
        <v>30</v>
      </c>
      <c r="M49" s="5" t="s">
        <v>29</v>
      </c>
      <c r="N49" s="7"/>
    </row>
    <row r="50" spans="2:14" x14ac:dyDescent="0.35">
      <c r="B50" s="5" t="s">
        <v>180</v>
      </c>
      <c r="C50" s="5" t="s">
        <v>181</v>
      </c>
      <c r="D50" s="5" t="s">
        <v>37</v>
      </c>
      <c r="E50" s="5">
        <v>2</v>
      </c>
      <c r="F50" s="6">
        <v>45312</v>
      </c>
      <c r="G50" s="5" t="s">
        <v>17</v>
      </c>
      <c r="H50" s="5" t="s">
        <v>182</v>
      </c>
      <c r="I50" s="5" t="s">
        <v>102</v>
      </c>
      <c r="J50" s="5" t="s">
        <v>20</v>
      </c>
      <c r="K50" s="5" t="s">
        <v>72</v>
      </c>
      <c r="L50" s="5">
        <v>36</v>
      </c>
      <c r="M50" s="5" t="s">
        <v>22</v>
      </c>
      <c r="N50" s="7"/>
    </row>
    <row r="51" spans="2:14" x14ac:dyDescent="0.35">
      <c r="B51" s="5" t="s">
        <v>183</v>
      </c>
      <c r="C51" s="5" t="s">
        <v>184</v>
      </c>
      <c r="D51" s="5" t="s">
        <v>25</v>
      </c>
      <c r="E51" s="5">
        <v>3</v>
      </c>
      <c r="F51" s="6">
        <v>45312</v>
      </c>
      <c r="G51" s="5" t="s">
        <v>55</v>
      </c>
      <c r="H51" s="5" t="s">
        <v>185</v>
      </c>
      <c r="I51" s="5" t="s">
        <v>186</v>
      </c>
      <c r="J51" s="5" t="s">
        <v>28</v>
      </c>
      <c r="K51" s="5" t="s">
        <v>72</v>
      </c>
      <c r="L51" s="5">
        <v>17</v>
      </c>
      <c r="M51" s="5" t="s">
        <v>51</v>
      </c>
      <c r="N51" s="7"/>
    </row>
    <row r="52" spans="2:14" x14ac:dyDescent="0.35">
      <c r="B52" s="5" t="s">
        <v>187</v>
      </c>
      <c r="C52" s="5" t="s">
        <v>188</v>
      </c>
      <c r="D52" s="5" t="s">
        <v>37</v>
      </c>
      <c r="E52" s="5">
        <v>4</v>
      </c>
      <c r="F52" s="6">
        <v>45313</v>
      </c>
      <c r="G52" s="5" t="s">
        <v>17</v>
      </c>
      <c r="H52" s="5" t="s">
        <v>38</v>
      </c>
      <c r="I52" s="5" t="s">
        <v>39</v>
      </c>
      <c r="J52" s="5" t="s">
        <v>47</v>
      </c>
      <c r="K52" s="5" t="s">
        <v>21</v>
      </c>
      <c r="L52" s="5">
        <v>38</v>
      </c>
      <c r="M52" s="5" t="s">
        <v>51</v>
      </c>
      <c r="N52" s="7"/>
    </row>
    <row r="53" spans="2:14" x14ac:dyDescent="0.35">
      <c r="B53" s="5" t="s">
        <v>189</v>
      </c>
      <c r="C53" s="5" t="s">
        <v>190</v>
      </c>
      <c r="D53" s="5" t="s">
        <v>37</v>
      </c>
      <c r="E53" s="5">
        <v>2</v>
      </c>
      <c r="F53" s="6">
        <v>45313</v>
      </c>
      <c r="G53" s="5" t="s">
        <v>118</v>
      </c>
      <c r="H53" s="5" t="s">
        <v>191</v>
      </c>
      <c r="I53" s="5" t="s">
        <v>71</v>
      </c>
      <c r="J53" s="5" t="s">
        <v>20</v>
      </c>
      <c r="K53" s="5" t="s">
        <v>21</v>
      </c>
      <c r="L53" s="5">
        <v>36</v>
      </c>
      <c r="M53" s="5" t="s">
        <v>29</v>
      </c>
      <c r="N53" s="7"/>
    </row>
    <row r="54" spans="2:14" x14ac:dyDescent="0.35">
      <c r="B54" s="5" t="s">
        <v>192</v>
      </c>
      <c r="C54" s="5" t="s">
        <v>193</v>
      </c>
      <c r="D54" s="5" t="s">
        <v>44</v>
      </c>
      <c r="E54" s="5">
        <v>9</v>
      </c>
      <c r="F54" s="6">
        <v>45314</v>
      </c>
      <c r="G54" s="5" t="s">
        <v>17</v>
      </c>
      <c r="H54" s="5" t="s">
        <v>194</v>
      </c>
      <c r="I54" s="5" t="s">
        <v>71</v>
      </c>
      <c r="J54" s="5" t="s">
        <v>20</v>
      </c>
      <c r="K54" s="5" t="s">
        <v>21</v>
      </c>
      <c r="L54" s="5">
        <v>38</v>
      </c>
      <c r="M54" s="5" t="s">
        <v>51</v>
      </c>
      <c r="N54" s="7"/>
    </row>
    <row r="55" spans="2:14" x14ac:dyDescent="0.35">
      <c r="B55" s="5" t="s">
        <v>195</v>
      </c>
      <c r="C55" s="5" t="s">
        <v>196</v>
      </c>
      <c r="D55" s="5" t="s">
        <v>25</v>
      </c>
      <c r="E55" s="5">
        <v>6</v>
      </c>
      <c r="F55" s="6">
        <v>45314</v>
      </c>
      <c r="G55" s="5" t="s">
        <v>17</v>
      </c>
      <c r="H55" s="5" t="s">
        <v>197</v>
      </c>
      <c r="I55" s="5" t="s">
        <v>198</v>
      </c>
      <c r="J55" s="5" t="s">
        <v>20</v>
      </c>
      <c r="K55" s="5" t="s">
        <v>21</v>
      </c>
      <c r="L55" s="5">
        <v>13</v>
      </c>
      <c r="M55" s="5" t="s">
        <v>51</v>
      </c>
      <c r="N55" s="7"/>
    </row>
    <row r="56" spans="2:14" x14ac:dyDescent="0.35">
      <c r="B56" s="5" t="s">
        <v>199</v>
      </c>
      <c r="C56" s="5" t="s">
        <v>200</v>
      </c>
      <c r="D56" s="5" t="s">
        <v>44</v>
      </c>
      <c r="E56" s="5">
        <v>8</v>
      </c>
      <c r="F56" s="6">
        <v>45315</v>
      </c>
      <c r="G56" s="5" t="s">
        <v>118</v>
      </c>
      <c r="H56" s="5" t="s">
        <v>201</v>
      </c>
      <c r="I56" s="5" t="s">
        <v>202</v>
      </c>
      <c r="J56" s="5" t="s">
        <v>20</v>
      </c>
      <c r="K56" s="5" t="s">
        <v>21</v>
      </c>
      <c r="L56" s="5">
        <v>42</v>
      </c>
      <c r="M56" s="5" t="s">
        <v>29</v>
      </c>
      <c r="N56" s="7"/>
    </row>
    <row r="57" spans="2:14" x14ac:dyDescent="0.35">
      <c r="B57" s="5" t="s">
        <v>203</v>
      </c>
      <c r="C57" s="5" t="s">
        <v>204</v>
      </c>
      <c r="D57" s="5" t="s">
        <v>16</v>
      </c>
      <c r="E57" s="5">
        <v>8</v>
      </c>
      <c r="F57" s="6">
        <v>45315</v>
      </c>
      <c r="G57" s="5" t="s">
        <v>118</v>
      </c>
      <c r="H57" s="5" t="s">
        <v>205</v>
      </c>
      <c r="I57" s="5" t="s">
        <v>206</v>
      </c>
      <c r="J57" s="5" t="s">
        <v>20</v>
      </c>
      <c r="K57" s="5" t="s">
        <v>21</v>
      </c>
      <c r="L57" s="5">
        <v>7</v>
      </c>
      <c r="M57" s="5" t="s">
        <v>51</v>
      </c>
      <c r="N57" s="7"/>
    </row>
    <row r="58" spans="2:14" x14ac:dyDescent="0.35">
      <c r="B58" s="5" t="s">
        <v>207</v>
      </c>
      <c r="C58" s="5" t="s">
        <v>208</v>
      </c>
      <c r="D58" s="5" t="s">
        <v>37</v>
      </c>
      <c r="E58" s="5">
        <v>4</v>
      </c>
      <c r="F58" s="6">
        <v>45315</v>
      </c>
      <c r="G58" s="5" t="s">
        <v>55</v>
      </c>
      <c r="H58" s="5" t="s">
        <v>209</v>
      </c>
      <c r="I58" s="5" t="s">
        <v>71</v>
      </c>
      <c r="J58" s="5" t="s">
        <v>28</v>
      </c>
      <c r="K58" s="5" t="s">
        <v>21</v>
      </c>
      <c r="L58" s="5">
        <v>30</v>
      </c>
      <c r="M58" s="5" t="s">
        <v>51</v>
      </c>
      <c r="N58" s="7"/>
    </row>
    <row r="59" spans="2:14" x14ac:dyDescent="0.35">
      <c r="B59" s="5" t="s">
        <v>210</v>
      </c>
      <c r="C59" s="5" t="s">
        <v>211</v>
      </c>
      <c r="D59" s="5" t="s">
        <v>25</v>
      </c>
      <c r="E59" s="5">
        <v>4</v>
      </c>
      <c r="F59" s="6">
        <v>45315</v>
      </c>
      <c r="G59" s="5" t="s">
        <v>118</v>
      </c>
      <c r="H59" s="5" t="s">
        <v>109</v>
      </c>
      <c r="I59" s="5" t="s">
        <v>39</v>
      </c>
      <c r="J59" s="5" t="s">
        <v>20</v>
      </c>
      <c r="K59" s="5" t="s">
        <v>72</v>
      </c>
      <c r="L59" s="5">
        <v>22</v>
      </c>
      <c r="M59" s="5" t="s">
        <v>51</v>
      </c>
      <c r="N59" s="7"/>
    </row>
    <row r="60" spans="2:14" x14ac:dyDescent="0.35">
      <c r="B60" s="5" t="s">
        <v>212</v>
      </c>
      <c r="C60" s="5" t="s">
        <v>213</v>
      </c>
      <c r="D60" s="5" t="s">
        <v>44</v>
      </c>
      <c r="E60" s="5">
        <v>7</v>
      </c>
      <c r="F60" s="6">
        <v>45316</v>
      </c>
      <c r="G60" s="5" t="s">
        <v>17</v>
      </c>
      <c r="H60" s="5" t="s">
        <v>214</v>
      </c>
      <c r="I60" s="5" t="s">
        <v>215</v>
      </c>
      <c r="J60" s="5" t="s">
        <v>28</v>
      </c>
      <c r="K60" s="5" t="s">
        <v>21</v>
      </c>
      <c r="L60" s="5">
        <v>8</v>
      </c>
      <c r="M60" s="5" t="s">
        <v>51</v>
      </c>
      <c r="N60" s="7"/>
    </row>
    <row r="61" spans="2:14" x14ac:dyDescent="0.35">
      <c r="B61" s="5" t="s">
        <v>216</v>
      </c>
      <c r="C61" s="5" t="s">
        <v>217</v>
      </c>
      <c r="D61" s="5" t="s">
        <v>37</v>
      </c>
      <c r="E61" s="5">
        <v>3</v>
      </c>
      <c r="F61" s="6">
        <v>45316</v>
      </c>
      <c r="G61" s="5" t="s">
        <v>17</v>
      </c>
      <c r="H61" s="5" t="s">
        <v>218</v>
      </c>
      <c r="I61" s="5" t="s">
        <v>198</v>
      </c>
      <c r="J61" s="5" t="s">
        <v>20</v>
      </c>
      <c r="K61" s="5" t="s">
        <v>72</v>
      </c>
      <c r="L61" s="5">
        <v>44</v>
      </c>
      <c r="M61" s="5" t="s">
        <v>51</v>
      </c>
      <c r="N61" s="7"/>
    </row>
    <row r="62" spans="2:14" x14ac:dyDescent="0.35">
      <c r="B62" s="5" t="s">
        <v>219</v>
      </c>
      <c r="C62" s="5" t="s">
        <v>220</v>
      </c>
      <c r="D62" s="5" t="s">
        <v>37</v>
      </c>
      <c r="E62" s="5">
        <v>1</v>
      </c>
      <c r="F62" s="6">
        <v>45317</v>
      </c>
      <c r="G62" s="5" t="s">
        <v>17</v>
      </c>
      <c r="H62" s="5" t="s">
        <v>157</v>
      </c>
      <c r="I62" s="5" t="s">
        <v>158</v>
      </c>
      <c r="J62" s="5" t="s">
        <v>20</v>
      </c>
      <c r="K62" s="5" t="s">
        <v>21</v>
      </c>
      <c r="L62" s="5">
        <v>34</v>
      </c>
      <c r="M62" s="5" t="s">
        <v>51</v>
      </c>
      <c r="N62" s="7"/>
    </row>
    <row r="63" spans="2:14" x14ac:dyDescent="0.35">
      <c r="B63" s="5" t="s">
        <v>221</v>
      </c>
      <c r="C63" s="5" t="s">
        <v>222</v>
      </c>
      <c r="D63" s="5" t="s">
        <v>25</v>
      </c>
      <c r="E63" s="5">
        <v>6</v>
      </c>
      <c r="F63" s="6">
        <v>45317</v>
      </c>
      <c r="G63" s="5" t="s">
        <v>17</v>
      </c>
      <c r="H63" s="5" t="s">
        <v>122</v>
      </c>
      <c r="I63" s="5" t="s">
        <v>123</v>
      </c>
      <c r="J63" s="5" t="s">
        <v>28</v>
      </c>
      <c r="K63" s="5" t="s">
        <v>21</v>
      </c>
      <c r="L63" s="5">
        <v>18</v>
      </c>
      <c r="M63" s="5" t="s">
        <v>29</v>
      </c>
      <c r="N63" s="7"/>
    </row>
    <row r="64" spans="2:14" x14ac:dyDescent="0.35">
      <c r="B64" s="5" t="s">
        <v>223</v>
      </c>
      <c r="C64" s="5" t="s">
        <v>224</v>
      </c>
      <c r="D64" s="5" t="s">
        <v>25</v>
      </c>
      <c r="E64" s="5">
        <v>4</v>
      </c>
      <c r="F64" s="6">
        <v>45318</v>
      </c>
      <c r="G64" s="5" t="s">
        <v>17</v>
      </c>
      <c r="H64" s="5" t="s">
        <v>225</v>
      </c>
      <c r="I64" s="5" t="s">
        <v>202</v>
      </c>
      <c r="J64" s="5" t="s">
        <v>40</v>
      </c>
      <c r="K64" s="5" t="s">
        <v>21</v>
      </c>
      <c r="L64" s="5">
        <v>23</v>
      </c>
      <c r="M64" s="5" t="s">
        <v>29</v>
      </c>
      <c r="N64" s="7"/>
    </row>
    <row r="65" spans="2:14" x14ac:dyDescent="0.35">
      <c r="B65" s="5" t="s">
        <v>226</v>
      </c>
      <c r="C65" s="5" t="s">
        <v>227</v>
      </c>
      <c r="D65" s="5" t="s">
        <v>16</v>
      </c>
      <c r="E65" s="5">
        <v>7</v>
      </c>
      <c r="F65" s="6">
        <v>45318</v>
      </c>
      <c r="G65" s="5" t="s">
        <v>17</v>
      </c>
      <c r="H65" s="5" t="s">
        <v>228</v>
      </c>
      <c r="I65" s="5" t="s">
        <v>198</v>
      </c>
      <c r="J65" s="5" t="s">
        <v>28</v>
      </c>
      <c r="K65" s="5" t="s">
        <v>21</v>
      </c>
      <c r="L65" s="5">
        <v>37</v>
      </c>
      <c r="M65" s="5" t="s">
        <v>29</v>
      </c>
      <c r="N65" s="7"/>
    </row>
    <row r="66" spans="2:14" x14ac:dyDescent="0.35">
      <c r="B66" s="5" t="s">
        <v>229</v>
      </c>
      <c r="C66" s="5" t="s">
        <v>230</v>
      </c>
      <c r="D66" s="5" t="s">
        <v>54</v>
      </c>
      <c r="E66" s="5">
        <v>9</v>
      </c>
      <c r="F66" s="6">
        <v>45319</v>
      </c>
      <c r="G66" s="5" t="s">
        <v>17</v>
      </c>
      <c r="H66" s="5" t="s">
        <v>231</v>
      </c>
      <c r="I66" s="5" t="s">
        <v>79</v>
      </c>
      <c r="J66" s="5" t="s">
        <v>47</v>
      </c>
      <c r="K66" s="5" t="s">
        <v>21</v>
      </c>
      <c r="L66" s="5">
        <v>14</v>
      </c>
      <c r="M66" s="5" t="s">
        <v>51</v>
      </c>
      <c r="N66" s="7"/>
    </row>
    <row r="67" spans="2:14" x14ac:dyDescent="0.35">
      <c r="B67" s="5" t="s">
        <v>232</v>
      </c>
      <c r="C67" s="5" t="s">
        <v>233</v>
      </c>
      <c r="D67" s="5" t="s">
        <v>25</v>
      </c>
      <c r="E67" s="5">
        <v>5</v>
      </c>
      <c r="F67" s="6">
        <v>45319</v>
      </c>
      <c r="G67" s="5" t="s">
        <v>17</v>
      </c>
      <c r="H67" s="5" t="s">
        <v>234</v>
      </c>
      <c r="I67" s="5" t="s">
        <v>186</v>
      </c>
      <c r="J67" s="5" t="s">
        <v>47</v>
      </c>
      <c r="K67" s="5" t="s">
        <v>21</v>
      </c>
      <c r="L67" s="5">
        <v>31</v>
      </c>
      <c r="M67" s="5" t="s">
        <v>34</v>
      </c>
      <c r="N67" s="7"/>
    </row>
    <row r="68" spans="2:14" x14ac:dyDescent="0.35">
      <c r="B68" s="5" t="s">
        <v>235</v>
      </c>
      <c r="C68" s="5" t="s">
        <v>236</v>
      </c>
      <c r="D68" s="5" t="s">
        <v>37</v>
      </c>
      <c r="E68" s="5">
        <v>1</v>
      </c>
      <c r="F68" s="6">
        <v>45320</v>
      </c>
      <c r="G68" s="5" t="s">
        <v>55</v>
      </c>
      <c r="H68" s="5" t="s">
        <v>237</v>
      </c>
      <c r="I68" s="5" t="s">
        <v>198</v>
      </c>
      <c r="J68" s="5" t="s">
        <v>28</v>
      </c>
      <c r="K68" s="5" t="s">
        <v>21</v>
      </c>
      <c r="L68" s="5">
        <v>10</v>
      </c>
      <c r="M68" s="5" t="s">
        <v>34</v>
      </c>
      <c r="N68" s="7"/>
    </row>
    <row r="69" spans="2:14" x14ac:dyDescent="0.35">
      <c r="B69" s="5" t="s">
        <v>238</v>
      </c>
      <c r="C69" s="5" t="s">
        <v>239</v>
      </c>
      <c r="D69" s="5" t="s">
        <v>25</v>
      </c>
      <c r="E69" s="5">
        <v>3</v>
      </c>
      <c r="F69" s="6">
        <v>45320</v>
      </c>
      <c r="G69" s="5" t="s">
        <v>17</v>
      </c>
      <c r="H69" s="5" t="s">
        <v>240</v>
      </c>
      <c r="I69" s="5" t="s">
        <v>33</v>
      </c>
      <c r="J69" s="5" t="s">
        <v>20</v>
      </c>
      <c r="K69" s="5" t="s">
        <v>72</v>
      </c>
      <c r="L69" s="5">
        <v>45</v>
      </c>
      <c r="M69" s="5" t="s">
        <v>51</v>
      </c>
      <c r="N69" s="7"/>
    </row>
    <row r="70" spans="2:14" x14ac:dyDescent="0.35">
      <c r="B70" s="5" t="s">
        <v>241</v>
      </c>
      <c r="C70" s="5" t="s">
        <v>242</v>
      </c>
      <c r="D70" s="5" t="s">
        <v>25</v>
      </c>
      <c r="E70" s="5">
        <v>5</v>
      </c>
      <c r="F70" s="6">
        <v>45320</v>
      </c>
      <c r="G70" s="5" t="s">
        <v>17</v>
      </c>
      <c r="H70" s="5" t="s">
        <v>59</v>
      </c>
      <c r="I70" s="5" t="s">
        <v>60</v>
      </c>
      <c r="J70" s="5" t="s">
        <v>40</v>
      </c>
      <c r="K70" s="5" t="s">
        <v>21</v>
      </c>
      <c r="L70" s="5">
        <v>8</v>
      </c>
      <c r="M70" s="5" t="s">
        <v>34</v>
      </c>
      <c r="N70" s="7"/>
    </row>
    <row r="71" spans="2:14" x14ac:dyDescent="0.35">
      <c r="B71" s="5" t="s">
        <v>243</v>
      </c>
      <c r="C71" s="5" t="s">
        <v>244</v>
      </c>
      <c r="D71" s="5" t="s">
        <v>44</v>
      </c>
      <c r="E71" s="5">
        <v>8</v>
      </c>
      <c r="F71" s="6">
        <v>45320</v>
      </c>
      <c r="G71" s="5" t="s">
        <v>17</v>
      </c>
      <c r="H71" s="5" t="s">
        <v>245</v>
      </c>
      <c r="I71" s="5" t="s">
        <v>71</v>
      </c>
      <c r="J71" s="5" t="s">
        <v>40</v>
      </c>
      <c r="K71" s="5" t="s">
        <v>41</v>
      </c>
      <c r="L71" s="5">
        <v>35</v>
      </c>
      <c r="M71" s="5" t="s">
        <v>29</v>
      </c>
      <c r="N71" s="7"/>
    </row>
    <row r="72" spans="2:14" x14ac:dyDescent="0.35">
      <c r="B72" s="5" t="s">
        <v>246</v>
      </c>
      <c r="C72" s="5" t="s">
        <v>247</v>
      </c>
      <c r="D72" s="5" t="s">
        <v>54</v>
      </c>
      <c r="E72" s="5">
        <v>9</v>
      </c>
      <c r="F72" s="6">
        <v>45320</v>
      </c>
      <c r="G72" s="5" t="s">
        <v>55</v>
      </c>
      <c r="H72" s="5" t="s">
        <v>112</v>
      </c>
      <c r="I72" s="5" t="s">
        <v>33</v>
      </c>
      <c r="J72" s="5" t="s">
        <v>28</v>
      </c>
      <c r="K72" s="5" t="s">
        <v>21</v>
      </c>
      <c r="L72" s="5">
        <v>33</v>
      </c>
      <c r="M72" s="5" t="s">
        <v>29</v>
      </c>
      <c r="N72" s="7"/>
    </row>
    <row r="73" spans="2:14" x14ac:dyDescent="0.35">
      <c r="B73" s="5" t="s">
        <v>248</v>
      </c>
      <c r="C73" s="5" t="s">
        <v>249</v>
      </c>
      <c r="D73" s="5" t="s">
        <v>16</v>
      </c>
      <c r="E73" s="5">
        <v>8</v>
      </c>
      <c r="F73" s="6">
        <v>45321</v>
      </c>
      <c r="G73" s="5" t="s">
        <v>55</v>
      </c>
      <c r="H73" s="5" t="s">
        <v>197</v>
      </c>
      <c r="I73" s="5" t="s">
        <v>198</v>
      </c>
      <c r="J73" s="5" t="s">
        <v>28</v>
      </c>
      <c r="K73" s="5" t="s">
        <v>21</v>
      </c>
      <c r="L73" s="5">
        <v>8</v>
      </c>
      <c r="M73" s="5" t="s">
        <v>51</v>
      </c>
      <c r="N73" s="7"/>
    </row>
    <row r="74" spans="2:14" x14ac:dyDescent="0.35">
      <c r="B74" s="5" t="s">
        <v>250</v>
      </c>
      <c r="C74" s="5" t="s">
        <v>251</v>
      </c>
      <c r="D74" s="5" t="s">
        <v>25</v>
      </c>
      <c r="E74" s="5">
        <v>3</v>
      </c>
      <c r="F74" s="6">
        <v>45321</v>
      </c>
      <c r="G74" s="5" t="s">
        <v>17</v>
      </c>
      <c r="H74" s="5" t="s">
        <v>252</v>
      </c>
      <c r="I74" s="5" t="s">
        <v>253</v>
      </c>
      <c r="J74" s="5" t="s">
        <v>47</v>
      </c>
      <c r="K74" s="5" t="s">
        <v>21</v>
      </c>
      <c r="L74" s="5">
        <v>19</v>
      </c>
      <c r="M74" s="5" t="s">
        <v>51</v>
      </c>
      <c r="N74" s="7"/>
    </row>
    <row r="75" spans="2:14" x14ac:dyDescent="0.35">
      <c r="B75" s="5" t="s">
        <v>254</v>
      </c>
      <c r="C75" s="5" t="s">
        <v>255</v>
      </c>
      <c r="D75" s="5" t="s">
        <v>25</v>
      </c>
      <c r="E75" s="5">
        <v>3</v>
      </c>
      <c r="F75" s="6">
        <v>45322</v>
      </c>
      <c r="G75" s="5" t="s">
        <v>17</v>
      </c>
      <c r="H75" s="5" t="s">
        <v>252</v>
      </c>
      <c r="I75" s="5" t="s">
        <v>256</v>
      </c>
      <c r="J75" s="5" t="s">
        <v>47</v>
      </c>
      <c r="K75" s="5" t="s">
        <v>21</v>
      </c>
      <c r="L75" s="5">
        <v>23</v>
      </c>
      <c r="M75" s="5" t="s">
        <v>29</v>
      </c>
      <c r="N75" s="7"/>
    </row>
    <row r="76" spans="2:14" x14ac:dyDescent="0.35">
      <c r="B76" s="5" t="s">
        <v>257</v>
      </c>
      <c r="C76" s="5" t="s">
        <v>258</v>
      </c>
      <c r="D76" s="5" t="s">
        <v>25</v>
      </c>
      <c r="E76" s="5">
        <v>5</v>
      </c>
      <c r="F76" s="6">
        <v>45322</v>
      </c>
      <c r="G76" s="5" t="s">
        <v>118</v>
      </c>
      <c r="H76" s="5" t="s">
        <v>101</v>
      </c>
      <c r="I76" s="5" t="s">
        <v>102</v>
      </c>
      <c r="J76" s="5" t="s">
        <v>20</v>
      </c>
      <c r="K76" s="5" t="s">
        <v>41</v>
      </c>
      <c r="L76" s="5">
        <v>35</v>
      </c>
      <c r="M76" s="5" t="s">
        <v>29</v>
      </c>
      <c r="N76"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EDE6-22DB-43A6-9E54-8D09B7D316D2}">
  <dimension ref="A2:Q76"/>
  <sheetViews>
    <sheetView tabSelected="1" topLeftCell="G1" zoomScale="80" zoomScaleNormal="80" workbookViewId="0">
      <selection activeCell="H6" sqref="H6"/>
    </sheetView>
  </sheetViews>
  <sheetFormatPr defaultColWidth="9" defaultRowHeight="14.5" x14ac:dyDescent="0.35"/>
  <cols>
    <col min="1" max="1" width="15.26953125" style="2" customWidth="1"/>
    <col min="2" max="2" width="21.26953125" style="2" customWidth="1"/>
    <col min="3" max="3" width="13.7265625" style="2" customWidth="1"/>
    <col min="4" max="4" width="8.6328125" style="2" customWidth="1"/>
    <col min="5" max="5" width="14.7265625" style="2" customWidth="1"/>
    <col min="6" max="6" width="15.36328125" style="2" customWidth="1"/>
    <col min="7" max="7" width="17.26953125" style="2" customWidth="1"/>
    <col min="8" max="8" width="18.7265625" style="2" customWidth="1"/>
    <col min="9" max="9" width="11.26953125" style="2" customWidth="1"/>
    <col min="10" max="10" width="14.453125" style="2" customWidth="1"/>
    <col min="11" max="11" width="14" style="2" customWidth="1"/>
    <col min="12" max="12" width="15" style="2" customWidth="1"/>
    <col min="13" max="13" width="11.81640625" style="2" customWidth="1"/>
    <col min="14" max="14" width="20.453125" style="2" customWidth="1"/>
    <col min="15" max="15" width="13" style="2" customWidth="1"/>
    <col min="16" max="16" width="19.7265625" style="2" customWidth="1"/>
    <col min="17" max="17" width="9.6328125" style="2" customWidth="1"/>
    <col min="18" max="16384" width="9" style="2"/>
  </cols>
  <sheetData>
    <row r="2" spans="1:17" ht="19" thickBot="1" x14ac:dyDescent="0.4">
      <c r="A2" s="15"/>
      <c r="B2" s="16"/>
      <c r="C2" s="16"/>
      <c r="D2" s="16"/>
      <c r="E2" s="15"/>
      <c r="F2" s="16"/>
      <c r="G2" s="15"/>
      <c r="H2" s="47" t="s">
        <v>264</v>
      </c>
      <c r="I2" s="48"/>
      <c r="J2" s="15"/>
      <c r="K2" s="15"/>
      <c r="L2" s="16"/>
      <c r="M2" s="16"/>
      <c r="N2" s="16"/>
      <c r="O2" s="15"/>
      <c r="P2" s="15"/>
      <c r="Q2" s="17"/>
    </row>
    <row r="3" spans="1:17" s="8" customFormat="1" x14ac:dyDescent="0.35">
      <c r="B3" s="14"/>
      <c r="C3" s="14"/>
      <c r="D3" s="14"/>
      <c r="F3" s="14"/>
      <c r="H3" s="14"/>
      <c r="I3" s="14"/>
      <c r="L3" s="14"/>
      <c r="M3" s="14"/>
      <c r="N3" s="14"/>
      <c r="Q3" s="14"/>
    </row>
    <row r="4" spans="1:17" s="8" customFormat="1" ht="19" thickBot="1" x14ac:dyDescent="0.5">
      <c r="A4" s="18"/>
      <c r="B4" s="18"/>
      <c r="C4" s="18"/>
      <c r="D4" s="18"/>
      <c r="E4" s="19"/>
      <c r="F4" s="18"/>
      <c r="G4" s="49" t="s">
        <v>1</v>
      </c>
      <c r="H4" s="50"/>
      <c r="I4" s="50"/>
      <c r="J4" s="50"/>
      <c r="K4" s="18"/>
      <c r="L4" s="18"/>
      <c r="M4" s="18"/>
      <c r="N4" s="18"/>
      <c r="O4" s="18"/>
      <c r="P4" s="18"/>
      <c r="Q4" s="18"/>
    </row>
    <row r="6" spans="1:17" s="10" customFormat="1" ht="33.75" customHeight="1" x14ac:dyDescent="0.35">
      <c r="A6" s="9" t="s">
        <v>2</v>
      </c>
      <c r="B6" s="9" t="s">
        <v>3</v>
      </c>
      <c r="C6" s="9" t="s">
        <v>4</v>
      </c>
      <c r="D6" s="9" t="s">
        <v>5</v>
      </c>
      <c r="E6" s="9" t="s">
        <v>6</v>
      </c>
      <c r="F6" s="9" t="s">
        <v>7</v>
      </c>
      <c r="G6" s="9" t="s">
        <v>8</v>
      </c>
      <c r="H6" s="9" t="s">
        <v>9</v>
      </c>
      <c r="I6" s="9" t="s">
        <v>10</v>
      </c>
      <c r="J6" s="9" t="s">
        <v>11</v>
      </c>
      <c r="K6" s="9" t="s">
        <v>12</v>
      </c>
      <c r="L6" s="13" t="s">
        <v>13</v>
      </c>
      <c r="M6" s="20" t="s">
        <v>259</v>
      </c>
      <c r="N6" s="20" t="s">
        <v>260</v>
      </c>
      <c r="O6" s="20" t="s">
        <v>261</v>
      </c>
      <c r="P6" s="20" t="s">
        <v>262</v>
      </c>
      <c r="Q6" s="21" t="s">
        <v>263</v>
      </c>
    </row>
    <row r="7" spans="1:17" x14ac:dyDescent="0.35">
      <c r="A7" s="5" t="s">
        <v>14</v>
      </c>
      <c r="B7" s="5" t="s">
        <v>15</v>
      </c>
      <c r="C7" s="5" t="s">
        <v>16</v>
      </c>
      <c r="D7" s="5">
        <v>8</v>
      </c>
      <c r="E7" s="6">
        <v>45292</v>
      </c>
      <c r="F7" s="5" t="s">
        <v>17</v>
      </c>
      <c r="G7" s="5" t="s">
        <v>18</v>
      </c>
      <c r="H7" s="5" t="s">
        <v>19</v>
      </c>
      <c r="I7" s="5" t="s">
        <v>20</v>
      </c>
      <c r="J7" s="5" t="s">
        <v>21</v>
      </c>
      <c r="K7" s="5">
        <v>14</v>
      </c>
      <c r="L7" s="5" t="s">
        <v>22</v>
      </c>
      <c r="M7" s="7" t="str">
        <f>TEXT(E7,"mmm")</f>
        <v>Jan</v>
      </c>
      <c r="N7" s="2" t="str">
        <f>IF(OR(C7="Positive",C7="Very Positive"),"Positive",IF(OR(C7="Negative",C7="Very Negative"),"Negative","Neutral"))</f>
        <v>Neutral</v>
      </c>
      <c r="O7" s="2" t="str">
        <f>IF(D7&lt;=4,"Low",
IF(D7&lt;=7,"Medium","High"))</f>
        <v>High</v>
      </c>
      <c r="P7" s="2" t="str">
        <f>IF(K7&lt;=15,"Short",
IF(K7&lt;=30,"Medium","Long"))</f>
        <v>Short</v>
      </c>
      <c r="Q7" s="2" t="str">
        <f>IF(J7="Within SLA","Within SLA","Above SLA")</f>
        <v>Within SLA</v>
      </c>
    </row>
    <row r="8" spans="1:17" x14ac:dyDescent="0.35">
      <c r="A8" s="5" t="s">
        <v>23</v>
      </c>
      <c r="B8" s="5" t="s">
        <v>24</v>
      </c>
      <c r="C8" s="5" t="s">
        <v>25</v>
      </c>
      <c r="D8" s="5">
        <v>5</v>
      </c>
      <c r="E8" s="6">
        <v>45292</v>
      </c>
      <c r="F8" s="5" t="s">
        <v>17</v>
      </c>
      <c r="G8" s="5" t="s">
        <v>26</v>
      </c>
      <c r="H8" s="5" t="s">
        <v>27</v>
      </c>
      <c r="I8" s="5" t="s">
        <v>28</v>
      </c>
      <c r="J8" s="5" t="s">
        <v>21</v>
      </c>
      <c r="K8" s="5">
        <v>32</v>
      </c>
      <c r="L8" s="5" t="s">
        <v>29</v>
      </c>
      <c r="M8" s="7" t="str">
        <f t="shared" ref="M8:M71" si="0">TEXT(E8,"mmm")</f>
        <v>Jan</v>
      </c>
      <c r="N8" s="2" t="str">
        <f t="shared" ref="N8:N71" si="1">IF(OR(C8="Positive",C8="Very Positive"),"Positive",IF(OR(C8="Negative",C8="Very Negative"),"Negative","Neutral"))</f>
        <v>Negative</v>
      </c>
      <c r="O8" s="2" t="str">
        <f t="shared" ref="O8:O71" si="2">IF(D8&lt;=4,"Low",
IF(D8&lt;=7,"Medium","High"))</f>
        <v>Medium</v>
      </c>
      <c r="P8" s="2" t="str">
        <f t="shared" ref="P8:P71" si="3">IF(K8&lt;=15,"Short",
IF(K8&lt;=30,"Medium","Long"))</f>
        <v>Long</v>
      </c>
      <c r="Q8" s="2" t="str">
        <f t="shared" ref="Q8:Q71" si="4">IF(J8="Within SLA","Within SLA","Above SLA")</f>
        <v>Within SLA</v>
      </c>
    </row>
    <row r="9" spans="1:17" x14ac:dyDescent="0.35">
      <c r="A9" s="5" t="s">
        <v>30</v>
      </c>
      <c r="B9" s="5" t="s">
        <v>31</v>
      </c>
      <c r="C9" s="5" t="s">
        <v>25</v>
      </c>
      <c r="D9" s="5">
        <v>3</v>
      </c>
      <c r="E9" s="6">
        <v>45293</v>
      </c>
      <c r="F9" s="5" t="s">
        <v>17</v>
      </c>
      <c r="G9" s="5" t="s">
        <v>32</v>
      </c>
      <c r="H9" s="5" t="s">
        <v>33</v>
      </c>
      <c r="I9" s="5" t="s">
        <v>20</v>
      </c>
      <c r="J9" s="5" t="s">
        <v>21</v>
      </c>
      <c r="K9" s="5">
        <v>6</v>
      </c>
      <c r="L9" s="5" t="s">
        <v>34</v>
      </c>
      <c r="M9" s="7" t="str">
        <f t="shared" si="0"/>
        <v>Jan</v>
      </c>
      <c r="N9" s="2" t="str">
        <f t="shared" si="1"/>
        <v>Negative</v>
      </c>
      <c r="O9" s="2" t="str">
        <f t="shared" si="2"/>
        <v>Low</v>
      </c>
      <c r="P9" s="2" t="str">
        <f t="shared" si="3"/>
        <v>Short</v>
      </c>
      <c r="Q9" s="2" t="str">
        <f t="shared" si="4"/>
        <v>Within SLA</v>
      </c>
    </row>
    <row r="10" spans="1:17" x14ac:dyDescent="0.35">
      <c r="A10" s="5" t="s">
        <v>35</v>
      </c>
      <c r="B10" s="5" t="s">
        <v>36</v>
      </c>
      <c r="C10" s="5" t="s">
        <v>37</v>
      </c>
      <c r="D10" s="5">
        <v>4</v>
      </c>
      <c r="E10" s="6">
        <v>45293</v>
      </c>
      <c r="F10" s="5" t="s">
        <v>17</v>
      </c>
      <c r="G10" s="5" t="s">
        <v>38</v>
      </c>
      <c r="H10" s="5" t="s">
        <v>39</v>
      </c>
      <c r="I10" s="5" t="s">
        <v>40</v>
      </c>
      <c r="J10" s="5" t="s">
        <v>41</v>
      </c>
      <c r="K10" s="5">
        <v>26</v>
      </c>
      <c r="L10" s="5" t="s">
        <v>29</v>
      </c>
      <c r="M10" s="7" t="str">
        <f t="shared" si="0"/>
        <v>Jan</v>
      </c>
      <c r="N10" s="2" t="str">
        <f t="shared" si="1"/>
        <v>Negative</v>
      </c>
      <c r="O10" s="2" t="str">
        <f t="shared" si="2"/>
        <v>Low</v>
      </c>
      <c r="P10" s="2" t="str">
        <f t="shared" si="3"/>
        <v>Medium</v>
      </c>
      <c r="Q10" s="2" t="str">
        <f t="shared" si="4"/>
        <v>Above SLA</v>
      </c>
    </row>
    <row r="11" spans="1:17" x14ac:dyDescent="0.35">
      <c r="A11" s="5" t="s">
        <v>42</v>
      </c>
      <c r="B11" s="5" t="s">
        <v>43</v>
      </c>
      <c r="C11" s="5" t="s">
        <v>44</v>
      </c>
      <c r="D11" s="5">
        <v>8</v>
      </c>
      <c r="E11" s="6">
        <v>45293</v>
      </c>
      <c r="F11" s="5" t="s">
        <v>17</v>
      </c>
      <c r="G11" s="5" t="s">
        <v>45</v>
      </c>
      <c r="H11" s="5" t="s">
        <v>46</v>
      </c>
      <c r="I11" s="5" t="s">
        <v>47</v>
      </c>
      <c r="J11" s="5" t="s">
        <v>21</v>
      </c>
      <c r="K11" s="5">
        <v>26</v>
      </c>
      <c r="L11" s="5" t="s">
        <v>29</v>
      </c>
      <c r="M11" s="7" t="str">
        <f t="shared" si="0"/>
        <v>Jan</v>
      </c>
      <c r="N11" s="2" t="str">
        <f t="shared" si="1"/>
        <v>Positive</v>
      </c>
      <c r="O11" s="2" t="str">
        <f t="shared" si="2"/>
        <v>High</v>
      </c>
      <c r="P11" s="2" t="str">
        <f t="shared" si="3"/>
        <v>Medium</v>
      </c>
      <c r="Q11" s="2" t="str">
        <f t="shared" si="4"/>
        <v>Within SLA</v>
      </c>
    </row>
    <row r="12" spans="1:17" ht="15" thickBot="1" x14ac:dyDescent="0.4">
      <c r="A12" s="5" t="s">
        <v>48</v>
      </c>
      <c r="B12" s="5" t="s">
        <v>49</v>
      </c>
      <c r="C12" s="5" t="s">
        <v>37</v>
      </c>
      <c r="D12" s="5">
        <v>4</v>
      </c>
      <c r="E12" s="6">
        <v>45294</v>
      </c>
      <c r="F12" s="5" t="s">
        <v>17</v>
      </c>
      <c r="G12" s="5" t="s">
        <v>18</v>
      </c>
      <c r="H12" s="5" t="s">
        <v>50</v>
      </c>
      <c r="I12" s="5" t="s">
        <v>47</v>
      </c>
      <c r="J12" s="5" t="s">
        <v>21</v>
      </c>
      <c r="K12" s="12">
        <v>6</v>
      </c>
      <c r="L12" s="5" t="s">
        <v>51</v>
      </c>
      <c r="M12" s="7" t="str">
        <f t="shared" si="0"/>
        <v>Jan</v>
      </c>
      <c r="N12" s="2" t="str">
        <f t="shared" si="1"/>
        <v>Negative</v>
      </c>
      <c r="O12" s="2" t="str">
        <f t="shared" si="2"/>
        <v>Low</v>
      </c>
      <c r="P12" s="2" t="str">
        <f t="shared" si="3"/>
        <v>Short</v>
      </c>
      <c r="Q12" s="2" t="str">
        <f t="shared" si="4"/>
        <v>Within SLA</v>
      </c>
    </row>
    <row r="13" spans="1:17" x14ac:dyDescent="0.35">
      <c r="A13" s="5" t="s">
        <v>52</v>
      </c>
      <c r="B13" s="5" t="s">
        <v>53</v>
      </c>
      <c r="C13" s="5" t="s">
        <v>54</v>
      </c>
      <c r="D13" s="5">
        <v>10</v>
      </c>
      <c r="E13" s="6">
        <v>45294</v>
      </c>
      <c r="F13" s="5" t="s">
        <v>55</v>
      </c>
      <c r="G13" s="5" t="s">
        <v>56</v>
      </c>
      <c r="H13" s="5" t="s">
        <v>39</v>
      </c>
      <c r="I13" s="5" t="s">
        <v>28</v>
      </c>
      <c r="J13" s="5" t="s">
        <v>21</v>
      </c>
      <c r="K13" s="11">
        <v>9</v>
      </c>
      <c r="L13" s="5" t="s">
        <v>29</v>
      </c>
      <c r="M13" s="7" t="str">
        <f t="shared" si="0"/>
        <v>Jan</v>
      </c>
      <c r="N13" s="2" t="str">
        <f t="shared" si="1"/>
        <v>Positive</v>
      </c>
      <c r="O13" s="2" t="str">
        <f t="shared" si="2"/>
        <v>High</v>
      </c>
      <c r="P13" s="2" t="str">
        <f t="shared" si="3"/>
        <v>Short</v>
      </c>
      <c r="Q13" s="2" t="str">
        <f t="shared" si="4"/>
        <v>Within SLA</v>
      </c>
    </row>
    <row r="14" spans="1:17" x14ac:dyDescent="0.35">
      <c r="A14" s="5" t="s">
        <v>57</v>
      </c>
      <c r="B14" s="5" t="s">
        <v>58</v>
      </c>
      <c r="C14" s="5" t="s">
        <v>25</v>
      </c>
      <c r="D14" s="5">
        <v>3</v>
      </c>
      <c r="E14" s="6">
        <v>45295</v>
      </c>
      <c r="F14" s="5" t="s">
        <v>17</v>
      </c>
      <c r="G14" s="5" t="s">
        <v>59</v>
      </c>
      <c r="H14" s="5" t="s">
        <v>60</v>
      </c>
      <c r="I14" s="5" t="s">
        <v>28</v>
      </c>
      <c r="J14" s="5" t="s">
        <v>21</v>
      </c>
      <c r="K14" s="5">
        <v>15</v>
      </c>
      <c r="L14" s="5" t="s">
        <v>51</v>
      </c>
      <c r="M14" s="7" t="str">
        <f t="shared" si="0"/>
        <v>Jan</v>
      </c>
      <c r="N14" s="2" t="str">
        <f t="shared" si="1"/>
        <v>Negative</v>
      </c>
      <c r="O14" s="2" t="str">
        <f t="shared" si="2"/>
        <v>Low</v>
      </c>
      <c r="P14" s="2" t="str">
        <f t="shared" si="3"/>
        <v>Short</v>
      </c>
      <c r="Q14" s="2" t="str">
        <f t="shared" si="4"/>
        <v>Within SLA</v>
      </c>
    </row>
    <row r="15" spans="1:17" x14ac:dyDescent="0.35">
      <c r="A15" s="5" t="s">
        <v>61</v>
      </c>
      <c r="B15" s="5" t="s">
        <v>62</v>
      </c>
      <c r="C15" s="5" t="s">
        <v>25</v>
      </c>
      <c r="D15" s="5">
        <v>3</v>
      </c>
      <c r="E15" s="6">
        <v>45295</v>
      </c>
      <c r="F15" s="5" t="s">
        <v>17</v>
      </c>
      <c r="G15" s="5" t="s">
        <v>63</v>
      </c>
      <c r="H15" s="5" t="s">
        <v>64</v>
      </c>
      <c r="I15" s="5" t="s">
        <v>47</v>
      </c>
      <c r="J15" s="5" t="s">
        <v>21</v>
      </c>
      <c r="K15" s="5">
        <v>12</v>
      </c>
      <c r="L15" s="5" t="s">
        <v>29</v>
      </c>
      <c r="M15" s="7" t="str">
        <f t="shared" si="0"/>
        <v>Jan</v>
      </c>
      <c r="N15" s="2" t="str">
        <f t="shared" si="1"/>
        <v>Negative</v>
      </c>
      <c r="O15" s="2" t="str">
        <f t="shared" si="2"/>
        <v>Low</v>
      </c>
      <c r="P15" s="2" t="str">
        <f t="shared" si="3"/>
        <v>Short</v>
      </c>
      <c r="Q15" s="2" t="str">
        <f t="shared" si="4"/>
        <v>Within SLA</v>
      </c>
    </row>
    <row r="16" spans="1:17" x14ac:dyDescent="0.35">
      <c r="A16" s="5" t="s">
        <v>65</v>
      </c>
      <c r="B16" s="5" t="s">
        <v>66</v>
      </c>
      <c r="C16" s="5" t="s">
        <v>25</v>
      </c>
      <c r="D16" s="5">
        <v>6</v>
      </c>
      <c r="E16" s="6">
        <v>45296</v>
      </c>
      <c r="F16" s="5" t="s">
        <v>17</v>
      </c>
      <c r="G16" s="5" t="s">
        <v>67</v>
      </c>
      <c r="H16" s="5" t="s">
        <v>33</v>
      </c>
      <c r="I16" s="5" t="s">
        <v>47</v>
      </c>
      <c r="J16" s="5" t="s">
        <v>21</v>
      </c>
      <c r="K16" s="5">
        <v>42</v>
      </c>
      <c r="L16" s="5" t="s">
        <v>29</v>
      </c>
      <c r="M16" s="7" t="str">
        <f t="shared" si="0"/>
        <v>Jan</v>
      </c>
      <c r="N16" s="2" t="str">
        <f t="shared" si="1"/>
        <v>Negative</v>
      </c>
      <c r="O16" s="2" t="str">
        <f t="shared" si="2"/>
        <v>Medium</v>
      </c>
      <c r="P16" s="2" t="str">
        <f t="shared" si="3"/>
        <v>Long</v>
      </c>
      <c r="Q16" s="2" t="str">
        <f t="shared" si="4"/>
        <v>Within SLA</v>
      </c>
    </row>
    <row r="17" spans="1:17" x14ac:dyDescent="0.35">
      <c r="A17" s="5" t="s">
        <v>68</v>
      </c>
      <c r="B17" s="5" t="s">
        <v>69</v>
      </c>
      <c r="C17" s="5" t="s">
        <v>25</v>
      </c>
      <c r="D17" s="5">
        <v>3</v>
      </c>
      <c r="E17" s="6">
        <v>45296</v>
      </c>
      <c r="F17" s="5" t="s">
        <v>17</v>
      </c>
      <c r="G17" s="5" t="s">
        <v>70</v>
      </c>
      <c r="H17" s="5" t="s">
        <v>71</v>
      </c>
      <c r="I17" s="5" t="s">
        <v>20</v>
      </c>
      <c r="J17" s="5" t="s">
        <v>72</v>
      </c>
      <c r="K17" s="5">
        <v>44</v>
      </c>
      <c r="L17" s="5" t="s">
        <v>51</v>
      </c>
      <c r="M17" s="7" t="str">
        <f t="shared" si="0"/>
        <v>Jan</v>
      </c>
      <c r="N17" s="2" t="str">
        <f t="shared" si="1"/>
        <v>Negative</v>
      </c>
      <c r="O17" s="2" t="str">
        <f t="shared" si="2"/>
        <v>Low</v>
      </c>
      <c r="P17" s="2" t="str">
        <f t="shared" si="3"/>
        <v>Long</v>
      </c>
      <c r="Q17" s="2" t="str">
        <f t="shared" si="4"/>
        <v>Above SLA</v>
      </c>
    </row>
    <row r="18" spans="1:17" x14ac:dyDescent="0.35">
      <c r="A18" s="5" t="s">
        <v>73</v>
      </c>
      <c r="B18" s="5" t="s">
        <v>74</v>
      </c>
      <c r="C18" s="5" t="s">
        <v>16</v>
      </c>
      <c r="D18" s="5">
        <v>7</v>
      </c>
      <c r="E18" s="6">
        <v>45297</v>
      </c>
      <c r="F18" s="5" t="s">
        <v>17</v>
      </c>
      <c r="G18" s="5" t="s">
        <v>75</v>
      </c>
      <c r="H18" s="5" t="s">
        <v>19</v>
      </c>
      <c r="I18" s="5" t="s">
        <v>20</v>
      </c>
      <c r="J18" s="5" t="s">
        <v>21</v>
      </c>
      <c r="K18" s="5">
        <v>29</v>
      </c>
      <c r="L18" s="5" t="s">
        <v>51</v>
      </c>
      <c r="M18" s="7" t="str">
        <f t="shared" si="0"/>
        <v>Jan</v>
      </c>
      <c r="N18" s="2" t="str">
        <f t="shared" si="1"/>
        <v>Neutral</v>
      </c>
      <c r="O18" s="2" t="str">
        <f t="shared" si="2"/>
        <v>Medium</v>
      </c>
      <c r="P18" s="2" t="str">
        <f t="shared" si="3"/>
        <v>Medium</v>
      </c>
      <c r="Q18" s="2" t="str">
        <f t="shared" si="4"/>
        <v>Within SLA</v>
      </c>
    </row>
    <row r="19" spans="1:17" x14ac:dyDescent="0.35">
      <c r="A19" s="5" t="s">
        <v>76</v>
      </c>
      <c r="B19" s="5" t="s">
        <v>77</v>
      </c>
      <c r="C19" s="5" t="s">
        <v>25</v>
      </c>
      <c r="D19" s="5">
        <v>5</v>
      </c>
      <c r="E19" s="6">
        <v>45297</v>
      </c>
      <c r="F19" s="5" t="s">
        <v>17</v>
      </c>
      <c r="G19" s="5" t="s">
        <v>78</v>
      </c>
      <c r="H19" s="5" t="s">
        <v>79</v>
      </c>
      <c r="I19" s="5" t="s">
        <v>20</v>
      </c>
      <c r="J19" s="5" t="s">
        <v>21</v>
      </c>
      <c r="K19" s="5">
        <v>35</v>
      </c>
      <c r="L19" s="5" t="s">
        <v>51</v>
      </c>
      <c r="M19" s="7" t="str">
        <f t="shared" si="0"/>
        <v>Jan</v>
      </c>
      <c r="N19" s="2" t="str">
        <f t="shared" si="1"/>
        <v>Negative</v>
      </c>
      <c r="O19" s="2" t="str">
        <f t="shared" si="2"/>
        <v>Medium</v>
      </c>
      <c r="P19" s="2" t="str">
        <f t="shared" si="3"/>
        <v>Long</v>
      </c>
      <c r="Q19" s="2" t="str">
        <f t="shared" si="4"/>
        <v>Within SLA</v>
      </c>
    </row>
    <row r="20" spans="1:17" x14ac:dyDescent="0.35">
      <c r="A20" s="5" t="s">
        <v>80</v>
      </c>
      <c r="B20" s="5" t="s">
        <v>81</v>
      </c>
      <c r="C20" s="5" t="s">
        <v>37</v>
      </c>
      <c r="D20" s="5">
        <v>2</v>
      </c>
      <c r="E20" s="6">
        <v>45298</v>
      </c>
      <c r="F20" s="5" t="s">
        <v>17</v>
      </c>
      <c r="G20" s="5" t="s">
        <v>82</v>
      </c>
      <c r="H20" s="5" t="s">
        <v>83</v>
      </c>
      <c r="I20" s="5" t="s">
        <v>47</v>
      </c>
      <c r="J20" s="5" t="s">
        <v>21</v>
      </c>
      <c r="K20" s="5">
        <v>30</v>
      </c>
      <c r="L20" s="5" t="s">
        <v>29</v>
      </c>
      <c r="M20" s="7" t="str">
        <f t="shared" si="0"/>
        <v>Jan</v>
      </c>
      <c r="N20" s="2" t="str">
        <f t="shared" si="1"/>
        <v>Negative</v>
      </c>
      <c r="O20" s="2" t="str">
        <f t="shared" si="2"/>
        <v>Low</v>
      </c>
      <c r="P20" s="2" t="str">
        <f t="shared" si="3"/>
        <v>Medium</v>
      </c>
      <c r="Q20" s="2" t="str">
        <f t="shared" si="4"/>
        <v>Within SLA</v>
      </c>
    </row>
    <row r="21" spans="1:17" x14ac:dyDescent="0.35">
      <c r="A21" s="5" t="s">
        <v>84</v>
      </c>
      <c r="B21" s="5" t="s">
        <v>85</v>
      </c>
      <c r="C21" s="5" t="s">
        <v>25</v>
      </c>
      <c r="D21" s="5">
        <v>6</v>
      </c>
      <c r="E21" s="6">
        <v>45298</v>
      </c>
      <c r="F21" s="5" t="s">
        <v>55</v>
      </c>
      <c r="G21" s="5" t="s">
        <v>86</v>
      </c>
      <c r="H21" s="5" t="s">
        <v>87</v>
      </c>
      <c r="I21" s="5" t="s">
        <v>28</v>
      </c>
      <c r="J21" s="5" t="s">
        <v>21</v>
      </c>
      <c r="K21" s="5">
        <v>29</v>
      </c>
      <c r="L21" s="5" t="s">
        <v>29</v>
      </c>
      <c r="M21" s="7" t="str">
        <f t="shared" si="0"/>
        <v>Jan</v>
      </c>
      <c r="N21" s="2" t="str">
        <f t="shared" si="1"/>
        <v>Negative</v>
      </c>
      <c r="O21" s="2" t="str">
        <f t="shared" si="2"/>
        <v>Medium</v>
      </c>
      <c r="P21" s="2" t="str">
        <f t="shared" si="3"/>
        <v>Medium</v>
      </c>
      <c r="Q21" s="2" t="str">
        <f t="shared" si="4"/>
        <v>Within SLA</v>
      </c>
    </row>
    <row r="22" spans="1:17" x14ac:dyDescent="0.35">
      <c r="A22" s="5" t="s">
        <v>88</v>
      </c>
      <c r="B22" s="5" t="s">
        <v>89</v>
      </c>
      <c r="C22" s="5" t="s">
        <v>44</v>
      </c>
      <c r="D22" s="5">
        <v>9</v>
      </c>
      <c r="E22" s="6">
        <v>45299</v>
      </c>
      <c r="F22" s="5" t="s">
        <v>55</v>
      </c>
      <c r="G22" s="5" t="s">
        <v>90</v>
      </c>
      <c r="H22" s="5" t="s">
        <v>71</v>
      </c>
      <c r="I22" s="5" t="s">
        <v>28</v>
      </c>
      <c r="J22" s="5" t="s">
        <v>21</v>
      </c>
      <c r="K22" s="5">
        <v>9</v>
      </c>
      <c r="L22" s="5" t="s">
        <v>51</v>
      </c>
      <c r="M22" s="7" t="str">
        <f t="shared" si="0"/>
        <v>Jan</v>
      </c>
      <c r="N22" s="2" t="str">
        <f t="shared" si="1"/>
        <v>Positive</v>
      </c>
      <c r="O22" s="2" t="str">
        <f t="shared" si="2"/>
        <v>High</v>
      </c>
      <c r="P22" s="2" t="str">
        <f t="shared" si="3"/>
        <v>Short</v>
      </c>
      <c r="Q22" s="2" t="str">
        <f t="shared" si="4"/>
        <v>Within SLA</v>
      </c>
    </row>
    <row r="23" spans="1:17" x14ac:dyDescent="0.35">
      <c r="A23" s="5" t="s">
        <v>91</v>
      </c>
      <c r="B23" s="5" t="s">
        <v>92</v>
      </c>
      <c r="C23" s="5" t="s">
        <v>54</v>
      </c>
      <c r="D23" s="5">
        <v>9</v>
      </c>
      <c r="E23" s="6">
        <v>45299</v>
      </c>
      <c r="F23" s="5" t="s">
        <v>17</v>
      </c>
      <c r="G23" s="5" t="s">
        <v>93</v>
      </c>
      <c r="H23" s="5" t="s">
        <v>94</v>
      </c>
      <c r="I23" s="5" t="s">
        <v>20</v>
      </c>
      <c r="J23" s="5" t="s">
        <v>21</v>
      </c>
      <c r="K23" s="5">
        <v>8</v>
      </c>
      <c r="L23" s="5" t="s">
        <v>29</v>
      </c>
      <c r="M23" s="7" t="str">
        <f t="shared" si="0"/>
        <v>Jan</v>
      </c>
      <c r="N23" s="2" t="str">
        <f t="shared" si="1"/>
        <v>Positive</v>
      </c>
      <c r="O23" s="2" t="str">
        <f t="shared" si="2"/>
        <v>High</v>
      </c>
      <c r="P23" s="2" t="str">
        <f t="shared" si="3"/>
        <v>Short</v>
      </c>
      <c r="Q23" s="2" t="str">
        <f t="shared" si="4"/>
        <v>Within SLA</v>
      </c>
    </row>
    <row r="24" spans="1:17" x14ac:dyDescent="0.35">
      <c r="A24" s="5" t="s">
        <v>95</v>
      </c>
      <c r="B24" s="5" t="s">
        <v>96</v>
      </c>
      <c r="C24" s="5" t="s">
        <v>37</v>
      </c>
      <c r="D24" s="5">
        <v>3</v>
      </c>
      <c r="E24" s="6">
        <v>45299</v>
      </c>
      <c r="F24" s="5" t="s">
        <v>17</v>
      </c>
      <c r="G24" s="5" t="s">
        <v>97</v>
      </c>
      <c r="H24" s="5" t="s">
        <v>98</v>
      </c>
      <c r="I24" s="5" t="s">
        <v>20</v>
      </c>
      <c r="J24" s="5" t="s">
        <v>72</v>
      </c>
      <c r="K24" s="5">
        <v>35</v>
      </c>
      <c r="L24" s="5" t="s">
        <v>22</v>
      </c>
      <c r="M24" s="7" t="str">
        <f t="shared" si="0"/>
        <v>Jan</v>
      </c>
      <c r="N24" s="2" t="str">
        <f t="shared" si="1"/>
        <v>Negative</v>
      </c>
      <c r="O24" s="2" t="str">
        <f t="shared" si="2"/>
        <v>Low</v>
      </c>
      <c r="P24" s="2" t="str">
        <f t="shared" si="3"/>
        <v>Long</v>
      </c>
      <c r="Q24" s="2" t="str">
        <f t="shared" si="4"/>
        <v>Above SLA</v>
      </c>
    </row>
    <row r="25" spans="1:17" x14ac:dyDescent="0.35">
      <c r="A25" s="5" t="s">
        <v>99</v>
      </c>
      <c r="B25" s="5" t="s">
        <v>100</v>
      </c>
      <c r="C25" s="5" t="s">
        <v>44</v>
      </c>
      <c r="D25" s="5">
        <v>7</v>
      </c>
      <c r="E25" s="6">
        <v>45299</v>
      </c>
      <c r="F25" s="5" t="s">
        <v>17</v>
      </c>
      <c r="G25" s="5" t="s">
        <v>101</v>
      </c>
      <c r="H25" s="5" t="s">
        <v>102</v>
      </c>
      <c r="I25" s="5" t="s">
        <v>47</v>
      </c>
      <c r="J25" s="5" t="s">
        <v>21</v>
      </c>
      <c r="K25" s="5">
        <v>20</v>
      </c>
      <c r="L25" s="5" t="s">
        <v>51</v>
      </c>
      <c r="M25" s="7" t="str">
        <f t="shared" si="0"/>
        <v>Jan</v>
      </c>
      <c r="N25" s="2" t="str">
        <f t="shared" si="1"/>
        <v>Positive</v>
      </c>
      <c r="O25" s="2" t="str">
        <f t="shared" si="2"/>
        <v>Medium</v>
      </c>
      <c r="P25" s="2" t="str">
        <f t="shared" si="3"/>
        <v>Medium</v>
      </c>
      <c r="Q25" s="2" t="str">
        <f t="shared" si="4"/>
        <v>Within SLA</v>
      </c>
    </row>
    <row r="26" spans="1:17" x14ac:dyDescent="0.35">
      <c r="A26" s="5" t="s">
        <v>103</v>
      </c>
      <c r="B26" s="5" t="s">
        <v>104</v>
      </c>
      <c r="C26" s="5" t="s">
        <v>25</v>
      </c>
      <c r="D26" s="5">
        <v>3</v>
      </c>
      <c r="E26" s="6">
        <v>45300</v>
      </c>
      <c r="F26" s="5" t="s">
        <v>17</v>
      </c>
      <c r="G26" s="5" t="s">
        <v>105</v>
      </c>
      <c r="H26" s="5" t="s">
        <v>106</v>
      </c>
      <c r="I26" s="5" t="s">
        <v>47</v>
      </c>
      <c r="J26" s="5" t="s">
        <v>21</v>
      </c>
      <c r="K26" s="5">
        <v>31</v>
      </c>
      <c r="L26" s="5" t="s">
        <v>29</v>
      </c>
      <c r="M26" s="7" t="str">
        <f t="shared" si="0"/>
        <v>Jan</v>
      </c>
      <c r="N26" s="2" t="str">
        <f t="shared" si="1"/>
        <v>Negative</v>
      </c>
      <c r="O26" s="2" t="str">
        <f t="shared" si="2"/>
        <v>Low</v>
      </c>
      <c r="P26" s="2" t="str">
        <f t="shared" si="3"/>
        <v>Long</v>
      </c>
      <c r="Q26" s="2" t="str">
        <f t="shared" si="4"/>
        <v>Within SLA</v>
      </c>
    </row>
    <row r="27" spans="1:17" x14ac:dyDescent="0.35">
      <c r="A27" s="5" t="s">
        <v>107</v>
      </c>
      <c r="B27" s="5" t="s">
        <v>108</v>
      </c>
      <c r="C27" s="5" t="s">
        <v>16</v>
      </c>
      <c r="D27" s="5">
        <v>5</v>
      </c>
      <c r="E27" s="6">
        <v>45300</v>
      </c>
      <c r="F27" s="5" t="s">
        <v>17</v>
      </c>
      <c r="G27" s="5" t="s">
        <v>109</v>
      </c>
      <c r="H27" s="5" t="s">
        <v>39</v>
      </c>
      <c r="I27" s="5" t="s">
        <v>40</v>
      </c>
      <c r="J27" s="5" t="s">
        <v>41</v>
      </c>
      <c r="K27" s="5">
        <v>39</v>
      </c>
      <c r="L27" s="5" t="s">
        <v>29</v>
      </c>
      <c r="M27" s="7" t="str">
        <f t="shared" si="0"/>
        <v>Jan</v>
      </c>
      <c r="N27" s="2" t="str">
        <f t="shared" si="1"/>
        <v>Neutral</v>
      </c>
      <c r="O27" s="2" t="str">
        <f t="shared" si="2"/>
        <v>Medium</v>
      </c>
      <c r="P27" s="2" t="str">
        <f t="shared" si="3"/>
        <v>Long</v>
      </c>
      <c r="Q27" s="2" t="str">
        <f t="shared" si="4"/>
        <v>Above SLA</v>
      </c>
    </row>
    <row r="28" spans="1:17" x14ac:dyDescent="0.35">
      <c r="A28" s="5" t="s">
        <v>110</v>
      </c>
      <c r="B28" s="5" t="s">
        <v>111</v>
      </c>
      <c r="C28" s="5" t="s">
        <v>25</v>
      </c>
      <c r="D28" s="5">
        <v>3</v>
      </c>
      <c r="E28" s="6">
        <v>45301</v>
      </c>
      <c r="F28" s="5" t="s">
        <v>17</v>
      </c>
      <c r="G28" s="5" t="s">
        <v>112</v>
      </c>
      <c r="H28" s="5" t="s">
        <v>33</v>
      </c>
      <c r="I28" s="5" t="s">
        <v>28</v>
      </c>
      <c r="J28" s="5" t="s">
        <v>21</v>
      </c>
      <c r="K28" s="5">
        <v>38</v>
      </c>
      <c r="L28" s="5" t="s">
        <v>34</v>
      </c>
      <c r="M28" s="7" t="str">
        <f t="shared" si="0"/>
        <v>Jan</v>
      </c>
      <c r="N28" s="2" t="str">
        <f t="shared" si="1"/>
        <v>Negative</v>
      </c>
      <c r="O28" s="2" t="str">
        <f t="shared" si="2"/>
        <v>Low</v>
      </c>
      <c r="P28" s="2" t="str">
        <f t="shared" si="3"/>
        <v>Long</v>
      </c>
      <c r="Q28" s="2" t="str">
        <f t="shared" si="4"/>
        <v>Within SLA</v>
      </c>
    </row>
    <row r="29" spans="1:17" x14ac:dyDescent="0.35">
      <c r="A29" s="5" t="s">
        <v>113</v>
      </c>
      <c r="B29" s="5" t="s">
        <v>114</v>
      </c>
      <c r="C29" s="5" t="s">
        <v>25</v>
      </c>
      <c r="D29" s="5">
        <v>4</v>
      </c>
      <c r="E29" s="6">
        <v>45301</v>
      </c>
      <c r="F29" s="5" t="s">
        <v>17</v>
      </c>
      <c r="G29" s="5" t="s">
        <v>115</v>
      </c>
      <c r="H29" s="5" t="s">
        <v>71</v>
      </c>
      <c r="I29" s="5" t="s">
        <v>28</v>
      </c>
      <c r="J29" s="5" t="s">
        <v>72</v>
      </c>
      <c r="K29" s="5">
        <v>44</v>
      </c>
      <c r="L29" s="5" t="s">
        <v>34</v>
      </c>
      <c r="M29" s="7" t="str">
        <f t="shared" si="0"/>
        <v>Jan</v>
      </c>
      <c r="N29" s="2" t="str">
        <f t="shared" si="1"/>
        <v>Negative</v>
      </c>
      <c r="O29" s="2" t="str">
        <f t="shared" si="2"/>
        <v>Low</v>
      </c>
      <c r="P29" s="2" t="str">
        <f t="shared" si="3"/>
        <v>Long</v>
      </c>
      <c r="Q29" s="2" t="str">
        <f t="shared" si="4"/>
        <v>Above SLA</v>
      </c>
    </row>
    <row r="30" spans="1:17" x14ac:dyDescent="0.35">
      <c r="A30" s="5" t="s">
        <v>116</v>
      </c>
      <c r="B30" s="5" t="s">
        <v>117</v>
      </c>
      <c r="C30" s="5" t="s">
        <v>37</v>
      </c>
      <c r="D30" s="5">
        <v>4</v>
      </c>
      <c r="E30" s="6">
        <v>45302</v>
      </c>
      <c r="F30" s="5" t="s">
        <v>118</v>
      </c>
      <c r="G30" s="5" t="s">
        <v>119</v>
      </c>
      <c r="H30" s="5" t="s">
        <v>33</v>
      </c>
      <c r="I30" s="5" t="s">
        <v>20</v>
      </c>
      <c r="J30" s="5" t="s">
        <v>21</v>
      </c>
      <c r="K30" s="5">
        <v>41</v>
      </c>
      <c r="L30" s="5" t="s">
        <v>22</v>
      </c>
      <c r="M30" s="7" t="str">
        <f t="shared" si="0"/>
        <v>Jan</v>
      </c>
      <c r="N30" s="2" t="str">
        <f t="shared" si="1"/>
        <v>Negative</v>
      </c>
      <c r="O30" s="2" t="str">
        <f t="shared" si="2"/>
        <v>Low</v>
      </c>
      <c r="P30" s="2" t="str">
        <f t="shared" si="3"/>
        <v>Long</v>
      </c>
      <c r="Q30" s="2" t="str">
        <f t="shared" si="4"/>
        <v>Within SLA</v>
      </c>
    </row>
    <row r="31" spans="1:17" x14ac:dyDescent="0.35">
      <c r="A31" s="5" t="s">
        <v>120</v>
      </c>
      <c r="B31" s="5" t="s">
        <v>121</v>
      </c>
      <c r="C31" s="5" t="s">
        <v>37</v>
      </c>
      <c r="D31" s="5">
        <v>4</v>
      </c>
      <c r="E31" s="6">
        <v>45302</v>
      </c>
      <c r="F31" s="5" t="s">
        <v>17</v>
      </c>
      <c r="G31" s="5" t="s">
        <v>122</v>
      </c>
      <c r="H31" s="5" t="s">
        <v>123</v>
      </c>
      <c r="I31" s="5" t="s">
        <v>20</v>
      </c>
      <c r="J31" s="5" t="s">
        <v>21</v>
      </c>
      <c r="K31" s="5">
        <v>7</v>
      </c>
      <c r="L31" s="5" t="s">
        <v>51</v>
      </c>
      <c r="M31" s="7" t="str">
        <f t="shared" si="0"/>
        <v>Jan</v>
      </c>
      <c r="N31" s="2" t="str">
        <f t="shared" si="1"/>
        <v>Negative</v>
      </c>
      <c r="O31" s="2" t="str">
        <f t="shared" si="2"/>
        <v>Low</v>
      </c>
      <c r="P31" s="2" t="str">
        <f t="shared" si="3"/>
        <v>Short</v>
      </c>
      <c r="Q31" s="2" t="str">
        <f t="shared" si="4"/>
        <v>Within SLA</v>
      </c>
    </row>
    <row r="32" spans="1:17" x14ac:dyDescent="0.35">
      <c r="A32" s="5" t="s">
        <v>124</v>
      </c>
      <c r="B32" s="5" t="s">
        <v>125</v>
      </c>
      <c r="C32" s="5" t="s">
        <v>37</v>
      </c>
      <c r="D32" s="5">
        <v>4</v>
      </c>
      <c r="E32" s="6">
        <v>45303</v>
      </c>
      <c r="F32" s="5" t="s">
        <v>17</v>
      </c>
      <c r="G32" s="5" t="s">
        <v>126</v>
      </c>
      <c r="H32" s="5" t="s">
        <v>127</v>
      </c>
      <c r="I32" s="5" t="s">
        <v>40</v>
      </c>
      <c r="J32" s="5" t="s">
        <v>21</v>
      </c>
      <c r="K32" s="5">
        <v>34</v>
      </c>
      <c r="L32" s="5" t="s">
        <v>29</v>
      </c>
      <c r="M32" s="7" t="str">
        <f t="shared" si="0"/>
        <v>Jan</v>
      </c>
      <c r="N32" s="2" t="str">
        <f t="shared" si="1"/>
        <v>Negative</v>
      </c>
      <c r="O32" s="2" t="str">
        <f t="shared" si="2"/>
        <v>Low</v>
      </c>
      <c r="P32" s="2" t="str">
        <f t="shared" si="3"/>
        <v>Long</v>
      </c>
      <c r="Q32" s="2" t="str">
        <f t="shared" si="4"/>
        <v>Within SLA</v>
      </c>
    </row>
    <row r="33" spans="1:17" x14ac:dyDescent="0.35">
      <c r="A33" s="5" t="s">
        <v>128</v>
      </c>
      <c r="B33" s="5" t="s">
        <v>129</v>
      </c>
      <c r="C33" s="5" t="s">
        <v>54</v>
      </c>
      <c r="D33" s="5">
        <v>10</v>
      </c>
      <c r="E33" s="6">
        <v>45303</v>
      </c>
      <c r="F33" s="5" t="s">
        <v>17</v>
      </c>
      <c r="G33" s="5" t="s">
        <v>130</v>
      </c>
      <c r="H33" s="5" t="s">
        <v>33</v>
      </c>
      <c r="I33" s="5" t="s">
        <v>47</v>
      </c>
      <c r="J33" s="5" t="s">
        <v>41</v>
      </c>
      <c r="K33" s="5">
        <v>36</v>
      </c>
      <c r="L33" s="5" t="s">
        <v>29</v>
      </c>
      <c r="M33" s="7" t="str">
        <f t="shared" si="0"/>
        <v>Jan</v>
      </c>
      <c r="N33" s="2" t="str">
        <f t="shared" si="1"/>
        <v>Positive</v>
      </c>
      <c r="O33" s="2" t="str">
        <f t="shared" si="2"/>
        <v>High</v>
      </c>
      <c r="P33" s="2" t="str">
        <f t="shared" si="3"/>
        <v>Long</v>
      </c>
      <c r="Q33" s="2" t="str">
        <f t="shared" si="4"/>
        <v>Above SLA</v>
      </c>
    </row>
    <row r="34" spans="1:17" x14ac:dyDescent="0.35">
      <c r="A34" s="5" t="s">
        <v>131</v>
      </c>
      <c r="B34" s="5" t="s">
        <v>132</v>
      </c>
      <c r="C34" s="5" t="s">
        <v>16</v>
      </c>
      <c r="D34" s="5">
        <v>8</v>
      </c>
      <c r="E34" s="6">
        <v>45304</v>
      </c>
      <c r="F34" s="5" t="s">
        <v>17</v>
      </c>
      <c r="G34" s="5" t="s">
        <v>133</v>
      </c>
      <c r="H34" s="5" t="s">
        <v>39</v>
      </c>
      <c r="I34" s="5" t="s">
        <v>28</v>
      </c>
      <c r="J34" s="5" t="s">
        <v>21</v>
      </c>
      <c r="K34" s="5">
        <v>9</v>
      </c>
      <c r="L34" s="5" t="s">
        <v>22</v>
      </c>
      <c r="M34" s="7" t="str">
        <f t="shared" si="0"/>
        <v>Jan</v>
      </c>
      <c r="N34" s="2" t="str">
        <f t="shared" si="1"/>
        <v>Neutral</v>
      </c>
      <c r="O34" s="2" t="str">
        <f t="shared" si="2"/>
        <v>High</v>
      </c>
      <c r="P34" s="2" t="str">
        <f t="shared" si="3"/>
        <v>Short</v>
      </c>
      <c r="Q34" s="2" t="str">
        <f t="shared" si="4"/>
        <v>Within SLA</v>
      </c>
    </row>
    <row r="35" spans="1:17" x14ac:dyDescent="0.35">
      <c r="A35" s="5" t="s">
        <v>134</v>
      </c>
      <c r="B35" s="5" t="s">
        <v>135</v>
      </c>
      <c r="C35" s="5" t="s">
        <v>25</v>
      </c>
      <c r="D35" s="5">
        <v>6</v>
      </c>
      <c r="E35" s="6">
        <v>45304</v>
      </c>
      <c r="F35" s="5" t="s">
        <v>17</v>
      </c>
      <c r="G35" s="5" t="s">
        <v>136</v>
      </c>
      <c r="H35" s="5" t="s">
        <v>137</v>
      </c>
      <c r="I35" s="5" t="s">
        <v>28</v>
      </c>
      <c r="J35" s="5" t="s">
        <v>21</v>
      </c>
      <c r="K35" s="5">
        <v>39</v>
      </c>
      <c r="L35" s="5" t="s">
        <v>51</v>
      </c>
      <c r="M35" s="7" t="str">
        <f t="shared" si="0"/>
        <v>Jan</v>
      </c>
      <c r="N35" s="2" t="str">
        <f t="shared" si="1"/>
        <v>Negative</v>
      </c>
      <c r="O35" s="2" t="str">
        <f t="shared" si="2"/>
        <v>Medium</v>
      </c>
      <c r="P35" s="2" t="str">
        <f t="shared" si="3"/>
        <v>Long</v>
      </c>
      <c r="Q35" s="2" t="str">
        <f t="shared" si="4"/>
        <v>Within SLA</v>
      </c>
    </row>
    <row r="36" spans="1:17" x14ac:dyDescent="0.35">
      <c r="A36" s="5" t="s">
        <v>138</v>
      </c>
      <c r="B36" s="5" t="s">
        <v>139</v>
      </c>
      <c r="C36" s="5" t="s">
        <v>44</v>
      </c>
      <c r="D36" s="5">
        <v>7</v>
      </c>
      <c r="E36" s="6">
        <v>45305</v>
      </c>
      <c r="F36" s="5" t="s">
        <v>17</v>
      </c>
      <c r="G36" s="5" t="s">
        <v>140</v>
      </c>
      <c r="H36" s="5" t="s">
        <v>39</v>
      </c>
      <c r="I36" s="5" t="s">
        <v>40</v>
      </c>
      <c r="J36" s="5" t="s">
        <v>21</v>
      </c>
      <c r="K36" s="5">
        <v>17</v>
      </c>
      <c r="L36" s="5" t="s">
        <v>29</v>
      </c>
      <c r="M36" s="7" t="str">
        <f t="shared" si="0"/>
        <v>Jan</v>
      </c>
      <c r="N36" s="2" t="str">
        <f t="shared" si="1"/>
        <v>Positive</v>
      </c>
      <c r="O36" s="2" t="str">
        <f t="shared" si="2"/>
        <v>Medium</v>
      </c>
      <c r="P36" s="2" t="str">
        <f t="shared" si="3"/>
        <v>Medium</v>
      </c>
      <c r="Q36" s="2" t="str">
        <f t="shared" si="4"/>
        <v>Within SLA</v>
      </c>
    </row>
    <row r="37" spans="1:17" x14ac:dyDescent="0.35">
      <c r="A37" s="5" t="s">
        <v>141</v>
      </c>
      <c r="B37" s="5" t="s">
        <v>142</v>
      </c>
      <c r="C37" s="5" t="s">
        <v>54</v>
      </c>
      <c r="D37" s="5">
        <v>10</v>
      </c>
      <c r="E37" s="6">
        <v>45305</v>
      </c>
      <c r="F37" s="5" t="s">
        <v>17</v>
      </c>
      <c r="G37" s="5" t="s">
        <v>143</v>
      </c>
      <c r="H37" s="5" t="s">
        <v>79</v>
      </c>
      <c r="I37" s="5" t="s">
        <v>47</v>
      </c>
      <c r="J37" s="5" t="s">
        <v>21</v>
      </c>
      <c r="K37" s="5">
        <v>26</v>
      </c>
      <c r="L37" s="5" t="s">
        <v>29</v>
      </c>
      <c r="M37" s="7" t="str">
        <f t="shared" si="0"/>
        <v>Jan</v>
      </c>
      <c r="N37" s="2" t="str">
        <f t="shared" si="1"/>
        <v>Positive</v>
      </c>
      <c r="O37" s="2" t="str">
        <f t="shared" si="2"/>
        <v>High</v>
      </c>
      <c r="P37" s="2" t="str">
        <f t="shared" si="3"/>
        <v>Medium</v>
      </c>
      <c r="Q37" s="2" t="str">
        <f t="shared" si="4"/>
        <v>Within SLA</v>
      </c>
    </row>
    <row r="38" spans="1:17" x14ac:dyDescent="0.35">
      <c r="A38" s="5" t="s">
        <v>144</v>
      </c>
      <c r="B38" s="5" t="s">
        <v>145</v>
      </c>
      <c r="C38" s="5" t="s">
        <v>16</v>
      </c>
      <c r="D38" s="5">
        <v>6</v>
      </c>
      <c r="E38" s="6">
        <v>45306</v>
      </c>
      <c r="F38" s="5" t="s">
        <v>118</v>
      </c>
      <c r="G38" s="5" t="s">
        <v>146</v>
      </c>
      <c r="H38" s="5" t="s">
        <v>33</v>
      </c>
      <c r="I38" s="5" t="s">
        <v>20</v>
      </c>
      <c r="J38" s="5" t="s">
        <v>41</v>
      </c>
      <c r="K38" s="5">
        <v>35</v>
      </c>
      <c r="L38" s="5" t="s">
        <v>51</v>
      </c>
      <c r="M38" s="7" t="str">
        <f t="shared" si="0"/>
        <v>Jan</v>
      </c>
      <c r="N38" s="2" t="str">
        <f t="shared" si="1"/>
        <v>Neutral</v>
      </c>
      <c r="O38" s="2" t="str">
        <f t="shared" si="2"/>
        <v>Medium</v>
      </c>
      <c r="P38" s="2" t="str">
        <f t="shared" si="3"/>
        <v>Long</v>
      </c>
      <c r="Q38" s="2" t="str">
        <f t="shared" si="4"/>
        <v>Above SLA</v>
      </c>
    </row>
    <row r="39" spans="1:17" x14ac:dyDescent="0.35">
      <c r="A39" s="5" t="s">
        <v>147</v>
      </c>
      <c r="B39" s="5" t="s">
        <v>148</v>
      </c>
      <c r="C39" s="5" t="s">
        <v>25</v>
      </c>
      <c r="D39" s="5">
        <v>5</v>
      </c>
      <c r="E39" s="6">
        <v>45306</v>
      </c>
      <c r="F39" s="5" t="s">
        <v>55</v>
      </c>
      <c r="G39" s="5" t="s">
        <v>149</v>
      </c>
      <c r="H39" s="5" t="s">
        <v>123</v>
      </c>
      <c r="I39" s="5" t="s">
        <v>28</v>
      </c>
      <c r="J39" s="5" t="s">
        <v>41</v>
      </c>
      <c r="K39" s="5">
        <v>25</v>
      </c>
      <c r="L39" s="5" t="s">
        <v>22</v>
      </c>
      <c r="M39" s="7" t="str">
        <f t="shared" si="0"/>
        <v>Jan</v>
      </c>
      <c r="N39" s="2" t="str">
        <f t="shared" si="1"/>
        <v>Negative</v>
      </c>
      <c r="O39" s="2" t="str">
        <f t="shared" si="2"/>
        <v>Medium</v>
      </c>
      <c r="P39" s="2" t="str">
        <f t="shared" si="3"/>
        <v>Medium</v>
      </c>
      <c r="Q39" s="2" t="str">
        <f t="shared" si="4"/>
        <v>Above SLA</v>
      </c>
    </row>
    <row r="40" spans="1:17" x14ac:dyDescent="0.35">
      <c r="A40" s="5" t="s">
        <v>150</v>
      </c>
      <c r="B40" s="5" t="s">
        <v>151</v>
      </c>
      <c r="C40" s="5" t="s">
        <v>25</v>
      </c>
      <c r="D40" s="5">
        <v>3</v>
      </c>
      <c r="E40" s="6">
        <v>45307</v>
      </c>
      <c r="F40" s="5" t="s">
        <v>118</v>
      </c>
      <c r="G40" s="5" t="s">
        <v>122</v>
      </c>
      <c r="H40" s="5" t="s">
        <v>123</v>
      </c>
      <c r="I40" s="5" t="s">
        <v>20</v>
      </c>
      <c r="J40" s="5" t="s">
        <v>21</v>
      </c>
      <c r="K40" s="5">
        <v>35</v>
      </c>
      <c r="L40" s="5" t="s">
        <v>22</v>
      </c>
      <c r="M40" s="7" t="str">
        <f t="shared" si="0"/>
        <v>Jan</v>
      </c>
      <c r="N40" s="2" t="str">
        <f t="shared" si="1"/>
        <v>Negative</v>
      </c>
      <c r="O40" s="2" t="str">
        <f t="shared" si="2"/>
        <v>Low</v>
      </c>
      <c r="P40" s="2" t="str">
        <f t="shared" si="3"/>
        <v>Long</v>
      </c>
      <c r="Q40" s="2" t="str">
        <f t="shared" si="4"/>
        <v>Within SLA</v>
      </c>
    </row>
    <row r="41" spans="1:17" x14ac:dyDescent="0.35">
      <c r="A41" s="5" t="s">
        <v>152</v>
      </c>
      <c r="B41" s="5" t="s">
        <v>153</v>
      </c>
      <c r="C41" s="5" t="s">
        <v>25</v>
      </c>
      <c r="D41" s="5">
        <v>3</v>
      </c>
      <c r="E41" s="6">
        <v>45307</v>
      </c>
      <c r="F41" s="5" t="s">
        <v>17</v>
      </c>
      <c r="G41" s="5" t="s">
        <v>154</v>
      </c>
      <c r="H41" s="5" t="s">
        <v>33</v>
      </c>
      <c r="I41" s="5" t="s">
        <v>28</v>
      </c>
      <c r="J41" s="5" t="s">
        <v>21</v>
      </c>
      <c r="K41" s="5">
        <v>38</v>
      </c>
      <c r="L41" s="5" t="s">
        <v>51</v>
      </c>
      <c r="M41" s="7" t="str">
        <f t="shared" si="0"/>
        <v>Jan</v>
      </c>
      <c r="N41" s="2" t="str">
        <f t="shared" si="1"/>
        <v>Negative</v>
      </c>
      <c r="O41" s="2" t="str">
        <f t="shared" si="2"/>
        <v>Low</v>
      </c>
      <c r="P41" s="2" t="str">
        <f t="shared" si="3"/>
        <v>Long</v>
      </c>
      <c r="Q41" s="2" t="str">
        <f t="shared" si="4"/>
        <v>Within SLA</v>
      </c>
    </row>
    <row r="42" spans="1:17" x14ac:dyDescent="0.35">
      <c r="A42" s="5" t="s">
        <v>155</v>
      </c>
      <c r="B42" s="5" t="s">
        <v>156</v>
      </c>
      <c r="C42" s="5" t="s">
        <v>25</v>
      </c>
      <c r="D42" s="5">
        <v>3</v>
      </c>
      <c r="E42" s="6">
        <v>45308</v>
      </c>
      <c r="F42" s="5" t="s">
        <v>17</v>
      </c>
      <c r="G42" s="5" t="s">
        <v>157</v>
      </c>
      <c r="H42" s="5" t="s">
        <v>158</v>
      </c>
      <c r="I42" s="5" t="s">
        <v>47</v>
      </c>
      <c r="J42" s="5" t="s">
        <v>41</v>
      </c>
      <c r="K42" s="5">
        <v>14</v>
      </c>
      <c r="L42" s="5" t="s">
        <v>29</v>
      </c>
      <c r="M42" s="7" t="str">
        <f t="shared" si="0"/>
        <v>Jan</v>
      </c>
      <c r="N42" s="2" t="str">
        <f t="shared" si="1"/>
        <v>Negative</v>
      </c>
      <c r="O42" s="2" t="str">
        <f t="shared" si="2"/>
        <v>Low</v>
      </c>
      <c r="P42" s="2" t="str">
        <f t="shared" si="3"/>
        <v>Short</v>
      </c>
      <c r="Q42" s="2" t="str">
        <f t="shared" si="4"/>
        <v>Above SLA</v>
      </c>
    </row>
    <row r="43" spans="1:17" x14ac:dyDescent="0.35">
      <c r="A43" s="5" t="s">
        <v>159</v>
      </c>
      <c r="B43" s="5" t="s">
        <v>160</v>
      </c>
      <c r="C43" s="5" t="s">
        <v>25</v>
      </c>
      <c r="D43" s="5">
        <v>6</v>
      </c>
      <c r="E43" s="6">
        <v>45308</v>
      </c>
      <c r="F43" s="5" t="s">
        <v>17</v>
      </c>
      <c r="G43" s="5" t="s">
        <v>70</v>
      </c>
      <c r="H43" s="5" t="s">
        <v>71</v>
      </c>
      <c r="I43" s="5" t="s">
        <v>47</v>
      </c>
      <c r="J43" s="5" t="s">
        <v>21</v>
      </c>
      <c r="K43" s="5">
        <v>43</v>
      </c>
      <c r="L43" s="5" t="s">
        <v>29</v>
      </c>
      <c r="M43" s="7" t="str">
        <f t="shared" si="0"/>
        <v>Jan</v>
      </c>
      <c r="N43" s="2" t="str">
        <f t="shared" si="1"/>
        <v>Negative</v>
      </c>
      <c r="O43" s="2" t="str">
        <f t="shared" si="2"/>
        <v>Medium</v>
      </c>
      <c r="P43" s="2" t="str">
        <f t="shared" si="3"/>
        <v>Long</v>
      </c>
      <c r="Q43" s="2" t="str">
        <f t="shared" si="4"/>
        <v>Within SLA</v>
      </c>
    </row>
    <row r="44" spans="1:17" x14ac:dyDescent="0.35">
      <c r="A44" s="5" t="s">
        <v>161</v>
      </c>
      <c r="B44" s="5" t="s">
        <v>162</v>
      </c>
      <c r="C44" s="5" t="s">
        <v>54</v>
      </c>
      <c r="D44" s="5">
        <v>9</v>
      </c>
      <c r="E44" s="6">
        <v>45309</v>
      </c>
      <c r="F44" s="5" t="s">
        <v>17</v>
      </c>
      <c r="G44" s="5" t="s">
        <v>163</v>
      </c>
      <c r="H44" s="5" t="s">
        <v>71</v>
      </c>
      <c r="I44" s="5" t="s">
        <v>28</v>
      </c>
      <c r="J44" s="5" t="s">
        <v>21</v>
      </c>
      <c r="K44" s="5">
        <v>43</v>
      </c>
      <c r="L44" s="5" t="s">
        <v>29</v>
      </c>
      <c r="M44" s="7" t="str">
        <f t="shared" si="0"/>
        <v>Jan</v>
      </c>
      <c r="N44" s="2" t="str">
        <f t="shared" si="1"/>
        <v>Positive</v>
      </c>
      <c r="O44" s="2" t="str">
        <f t="shared" si="2"/>
        <v>High</v>
      </c>
      <c r="P44" s="2" t="str">
        <f t="shared" si="3"/>
        <v>Long</v>
      </c>
      <c r="Q44" s="2" t="str">
        <f t="shared" si="4"/>
        <v>Within SLA</v>
      </c>
    </row>
    <row r="45" spans="1:17" x14ac:dyDescent="0.35">
      <c r="A45" s="5" t="s">
        <v>164</v>
      </c>
      <c r="B45" s="5" t="s">
        <v>165</v>
      </c>
      <c r="C45" s="5" t="s">
        <v>16</v>
      </c>
      <c r="D45" s="5">
        <v>6</v>
      </c>
      <c r="E45" s="6">
        <v>45309</v>
      </c>
      <c r="F45" s="5" t="s">
        <v>17</v>
      </c>
      <c r="G45" s="5" t="s">
        <v>166</v>
      </c>
      <c r="H45" s="5" t="s">
        <v>46</v>
      </c>
      <c r="I45" s="5" t="s">
        <v>47</v>
      </c>
      <c r="J45" s="5" t="s">
        <v>21</v>
      </c>
      <c r="K45" s="5">
        <v>6</v>
      </c>
      <c r="L45" s="5" t="s">
        <v>51</v>
      </c>
      <c r="M45" s="7" t="str">
        <f t="shared" si="0"/>
        <v>Jan</v>
      </c>
      <c r="N45" s="2" t="str">
        <f t="shared" si="1"/>
        <v>Neutral</v>
      </c>
      <c r="O45" s="2" t="str">
        <f t="shared" si="2"/>
        <v>Medium</v>
      </c>
      <c r="P45" s="2" t="str">
        <f t="shared" si="3"/>
        <v>Short</v>
      </c>
      <c r="Q45" s="2" t="str">
        <f t="shared" si="4"/>
        <v>Within SLA</v>
      </c>
    </row>
    <row r="46" spans="1:17" x14ac:dyDescent="0.35">
      <c r="A46" s="5" t="s">
        <v>167</v>
      </c>
      <c r="B46" s="5" t="s">
        <v>168</v>
      </c>
      <c r="C46" s="5" t="s">
        <v>44</v>
      </c>
      <c r="D46" s="5">
        <v>7</v>
      </c>
      <c r="E46" s="6">
        <v>45310</v>
      </c>
      <c r="F46" s="5" t="s">
        <v>17</v>
      </c>
      <c r="G46" s="5" t="s">
        <v>169</v>
      </c>
      <c r="H46" s="5" t="s">
        <v>170</v>
      </c>
      <c r="I46" s="5" t="s">
        <v>40</v>
      </c>
      <c r="J46" s="5" t="s">
        <v>41</v>
      </c>
      <c r="K46" s="5">
        <v>41</v>
      </c>
      <c r="L46" s="5" t="s">
        <v>29</v>
      </c>
      <c r="M46" s="7" t="str">
        <f t="shared" si="0"/>
        <v>Jan</v>
      </c>
      <c r="N46" s="2" t="str">
        <f t="shared" si="1"/>
        <v>Positive</v>
      </c>
      <c r="O46" s="2" t="str">
        <f t="shared" si="2"/>
        <v>Medium</v>
      </c>
      <c r="P46" s="2" t="str">
        <f t="shared" si="3"/>
        <v>Long</v>
      </c>
      <c r="Q46" s="2" t="str">
        <f t="shared" si="4"/>
        <v>Above SLA</v>
      </c>
    </row>
    <row r="47" spans="1:17" x14ac:dyDescent="0.35">
      <c r="A47" s="5" t="s">
        <v>171</v>
      </c>
      <c r="B47" s="5" t="s">
        <v>172</v>
      </c>
      <c r="C47" s="5" t="s">
        <v>25</v>
      </c>
      <c r="D47" s="5">
        <v>4</v>
      </c>
      <c r="E47" s="6">
        <v>45310</v>
      </c>
      <c r="F47" s="5" t="s">
        <v>55</v>
      </c>
      <c r="G47" s="5" t="s">
        <v>173</v>
      </c>
      <c r="H47" s="5" t="s">
        <v>174</v>
      </c>
      <c r="I47" s="5" t="s">
        <v>28</v>
      </c>
      <c r="J47" s="5" t="s">
        <v>21</v>
      </c>
      <c r="K47" s="5">
        <v>27</v>
      </c>
      <c r="L47" s="5" t="s">
        <v>51</v>
      </c>
      <c r="M47" s="7" t="str">
        <f t="shared" si="0"/>
        <v>Jan</v>
      </c>
      <c r="N47" s="2" t="str">
        <f t="shared" si="1"/>
        <v>Negative</v>
      </c>
      <c r="O47" s="2" t="str">
        <f t="shared" si="2"/>
        <v>Low</v>
      </c>
      <c r="P47" s="2" t="str">
        <f t="shared" si="3"/>
        <v>Medium</v>
      </c>
      <c r="Q47" s="2" t="str">
        <f t="shared" si="4"/>
        <v>Within SLA</v>
      </c>
    </row>
    <row r="48" spans="1:17" x14ac:dyDescent="0.35">
      <c r="A48" s="5" t="s">
        <v>175</v>
      </c>
      <c r="B48" s="5" t="s">
        <v>176</v>
      </c>
      <c r="C48" s="5" t="s">
        <v>44</v>
      </c>
      <c r="D48" s="5">
        <v>7</v>
      </c>
      <c r="E48" s="6">
        <v>45311</v>
      </c>
      <c r="F48" s="5" t="s">
        <v>55</v>
      </c>
      <c r="G48" s="5" t="s">
        <v>177</v>
      </c>
      <c r="H48" s="5" t="s">
        <v>79</v>
      </c>
      <c r="I48" s="5" t="s">
        <v>28</v>
      </c>
      <c r="J48" s="5" t="s">
        <v>21</v>
      </c>
      <c r="K48" s="5">
        <v>9</v>
      </c>
      <c r="L48" s="5" t="s">
        <v>29</v>
      </c>
      <c r="M48" s="7" t="str">
        <f t="shared" si="0"/>
        <v>Jan</v>
      </c>
      <c r="N48" s="2" t="str">
        <f t="shared" si="1"/>
        <v>Positive</v>
      </c>
      <c r="O48" s="2" t="str">
        <f t="shared" si="2"/>
        <v>Medium</v>
      </c>
      <c r="P48" s="2" t="str">
        <f t="shared" si="3"/>
        <v>Short</v>
      </c>
      <c r="Q48" s="2" t="str">
        <f t="shared" si="4"/>
        <v>Within SLA</v>
      </c>
    </row>
    <row r="49" spans="1:17" x14ac:dyDescent="0.35">
      <c r="A49" s="5" t="s">
        <v>178</v>
      </c>
      <c r="B49" s="5" t="s">
        <v>179</v>
      </c>
      <c r="C49" s="5" t="s">
        <v>37</v>
      </c>
      <c r="D49" s="5">
        <v>4</v>
      </c>
      <c r="E49" s="6">
        <v>45311</v>
      </c>
      <c r="F49" s="5" t="s">
        <v>55</v>
      </c>
      <c r="G49" s="5" t="s">
        <v>97</v>
      </c>
      <c r="H49" s="5" t="s">
        <v>98</v>
      </c>
      <c r="I49" s="5" t="s">
        <v>28</v>
      </c>
      <c r="J49" s="5" t="s">
        <v>21</v>
      </c>
      <c r="K49" s="5">
        <v>30</v>
      </c>
      <c r="L49" s="5" t="s">
        <v>29</v>
      </c>
      <c r="M49" s="7" t="str">
        <f t="shared" si="0"/>
        <v>Jan</v>
      </c>
      <c r="N49" s="2" t="str">
        <f t="shared" si="1"/>
        <v>Negative</v>
      </c>
      <c r="O49" s="2" t="str">
        <f t="shared" si="2"/>
        <v>Low</v>
      </c>
      <c r="P49" s="2" t="str">
        <f t="shared" si="3"/>
        <v>Medium</v>
      </c>
      <c r="Q49" s="2" t="str">
        <f t="shared" si="4"/>
        <v>Within SLA</v>
      </c>
    </row>
    <row r="50" spans="1:17" x14ac:dyDescent="0.35">
      <c r="A50" s="5" t="s">
        <v>180</v>
      </c>
      <c r="B50" s="5" t="s">
        <v>181</v>
      </c>
      <c r="C50" s="5" t="s">
        <v>37</v>
      </c>
      <c r="D50" s="5">
        <v>2</v>
      </c>
      <c r="E50" s="6">
        <v>45312</v>
      </c>
      <c r="F50" s="5" t="s">
        <v>17</v>
      </c>
      <c r="G50" s="5" t="s">
        <v>182</v>
      </c>
      <c r="H50" s="5" t="s">
        <v>102</v>
      </c>
      <c r="I50" s="5" t="s">
        <v>20</v>
      </c>
      <c r="J50" s="5" t="s">
        <v>72</v>
      </c>
      <c r="K50" s="5">
        <v>36</v>
      </c>
      <c r="L50" s="5" t="s">
        <v>22</v>
      </c>
      <c r="M50" s="7" t="str">
        <f t="shared" si="0"/>
        <v>Jan</v>
      </c>
      <c r="N50" s="2" t="str">
        <f t="shared" si="1"/>
        <v>Negative</v>
      </c>
      <c r="O50" s="2" t="str">
        <f t="shared" si="2"/>
        <v>Low</v>
      </c>
      <c r="P50" s="2" t="str">
        <f t="shared" si="3"/>
        <v>Long</v>
      </c>
      <c r="Q50" s="2" t="str">
        <f t="shared" si="4"/>
        <v>Above SLA</v>
      </c>
    </row>
    <row r="51" spans="1:17" x14ac:dyDescent="0.35">
      <c r="A51" s="5" t="s">
        <v>183</v>
      </c>
      <c r="B51" s="5" t="s">
        <v>184</v>
      </c>
      <c r="C51" s="5" t="s">
        <v>25</v>
      </c>
      <c r="D51" s="5">
        <v>3</v>
      </c>
      <c r="E51" s="6">
        <v>45312</v>
      </c>
      <c r="F51" s="5" t="s">
        <v>55</v>
      </c>
      <c r="G51" s="5" t="s">
        <v>185</v>
      </c>
      <c r="H51" s="5" t="s">
        <v>186</v>
      </c>
      <c r="I51" s="5" t="s">
        <v>28</v>
      </c>
      <c r="J51" s="5" t="s">
        <v>72</v>
      </c>
      <c r="K51" s="5">
        <v>17</v>
      </c>
      <c r="L51" s="5" t="s">
        <v>51</v>
      </c>
      <c r="M51" s="7" t="str">
        <f t="shared" si="0"/>
        <v>Jan</v>
      </c>
      <c r="N51" s="2" t="str">
        <f t="shared" si="1"/>
        <v>Negative</v>
      </c>
      <c r="O51" s="2" t="str">
        <f t="shared" si="2"/>
        <v>Low</v>
      </c>
      <c r="P51" s="2" t="str">
        <f t="shared" si="3"/>
        <v>Medium</v>
      </c>
      <c r="Q51" s="2" t="str">
        <f t="shared" si="4"/>
        <v>Above SLA</v>
      </c>
    </row>
    <row r="52" spans="1:17" x14ac:dyDescent="0.35">
      <c r="A52" s="5" t="s">
        <v>187</v>
      </c>
      <c r="B52" s="5" t="s">
        <v>188</v>
      </c>
      <c r="C52" s="5" t="s">
        <v>37</v>
      </c>
      <c r="D52" s="5">
        <v>4</v>
      </c>
      <c r="E52" s="6">
        <v>45313</v>
      </c>
      <c r="F52" s="5" t="s">
        <v>17</v>
      </c>
      <c r="G52" s="5" t="s">
        <v>38</v>
      </c>
      <c r="H52" s="5" t="s">
        <v>39</v>
      </c>
      <c r="I52" s="5" t="s">
        <v>47</v>
      </c>
      <c r="J52" s="5" t="s">
        <v>21</v>
      </c>
      <c r="K52" s="5">
        <v>38</v>
      </c>
      <c r="L52" s="5" t="s">
        <v>51</v>
      </c>
      <c r="M52" s="7" t="str">
        <f t="shared" si="0"/>
        <v>Jan</v>
      </c>
      <c r="N52" s="2" t="str">
        <f t="shared" si="1"/>
        <v>Negative</v>
      </c>
      <c r="O52" s="2" t="str">
        <f t="shared" si="2"/>
        <v>Low</v>
      </c>
      <c r="P52" s="2" t="str">
        <f t="shared" si="3"/>
        <v>Long</v>
      </c>
      <c r="Q52" s="2" t="str">
        <f t="shared" si="4"/>
        <v>Within SLA</v>
      </c>
    </row>
    <row r="53" spans="1:17" x14ac:dyDescent="0.35">
      <c r="A53" s="5" t="s">
        <v>189</v>
      </c>
      <c r="B53" s="5" t="s">
        <v>190</v>
      </c>
      <c r="C53" s="5" t="s">
        <v>37</v>
      </c>
      <c r="D53" s="5">
        <v>2</v>
      </c>
      <c r="E53" s="6">
        <v>45313</v>
      </c>
      <c r="F53" s="5" t="s">
        <v>118</v>
      </c>
      <c r="G53" s="5" t="s">
        <v>191</v>
      </c>
      <c r="H53" s="5" t="s">
        <v>71</v>
      </c>
      <c r="I53" s="5" t="s">
        <v>20</v>
      </c>
      <c r="J53" s="5" t="s">
        <v>21</v>
      </c>
      <c r="K53" s="5">
        <v>36</v>
      </c>
      <c r="L53" s="5" t="s">
        <v>29</v>
      </c>
      <c r="M53" s="7" t="str">
        <f t="shared" si="0"/>
        <v>Jan</v>
      </c>
      <c r="N53" s="2" t="str">
        <f t="shared" si="1"/>
        <v>Negative</v>
      </c>
      <c r="O53" s="2" t="str">
        <f t="shared" si="2"/>
        <v>Low</v>
      </c>
      <c r="P53" s="2" t="str">
        <f t="shared" si="3"/>
        <v>Long</v>
      </c>
      <c r="Q53" s="2" t="str">
        <f t="shared" si="4"/>
        <v>Within SLA</v>
      </c>
    </row>
    <row r="54" spans="1:17" x14ac:dyDescent="0.35">
      <c r="A54" s="5" t="s">
        <v>192</v>
      </c>
      <c r="B54" s="5" t="s">
        <v>193</v>
      </c>
      <c r="C54" s="5" t="s">
        <v>44</v>
      </c>
      <c r="D54" s="5">
        <v>9</v>
      </c>
      <c r="E54" s="6">
        <v>45314</v>
      </c>
      <c r="F54" s="5" t="s">
        <v>17</v>
      </c>
      <c r="G54" s="5" t="s">
        <v>194</v>
      </c>
      <c r="H54" s="5" t="s">
        <v>71</v>
      </c>
      <c r="I54" s="5" t="s">
        <v>20</v>
      </c>
      <c r="J54" s="5" t="s">
        <v>21</v>
      </c>
      <c r="K54" s="5">
        <v>38</v>
      </c>
      <c r="L54" s="5" t="s">
        <v>51</v>
      </c>
      <c r="M54" s="7" t="str">
        <f t="shared" si="0"/>
        <v>Jan</v>
      </c>
      <c r="N54" s="2" t="str">
        <f t="shared" si="1"/>
        <v>Positive</v>
      </c>
      <c r="O54" s="2" t="str">
        <f t="shared" si="2"/>
        <v>High</v>
      </c>
      <c r="P54" s="2" t="str">
        <f t="shared" si="3"/>
        <v>Long</v>
      </c>
      <c r="Q54" s="2" t="str">
        <f t="shared" si="4"/>
        <v>Within SLA</v>
      </c>
    </row>
    <row r="55" spans="1:17" x14ac:dyDescent="0.35">
      <c r="A55" s="5" t="s">
        <v>195</v>
      </c>
      <c r="B55" s="5" t="s">
        <v>196</v>
      </c>
      <c r="C55" s="5" t="s">
        <v>25</v>
      </c>
      <c r="D55" s="5">
        <v>6</v>
      </c>
      <c r="E55" s="6">
        <v>45314</v>
      </c>
      <c r="F55" s="5" t="s">
        <v>17</v>
      </c>
      <c r="G55" s="5" t="s">
        <v>197</v>
      </c>
      <c r="H55" s="5" t="s">
        <v>198</v>
      </c>
      <c r="I55" s="5" t="s">
        <v>20</v>
      </c>
      <c r="J55" s="5" t="s">
        <v>21</v>
      </c>
      <c r="K55" s="5">
        <v>13</v>
      </c>
      <c r="L55" s="5" t="s">
        <v>51</v>
      </c>
      <c r="M55" s="7" t="str">
        <f t="shared" si="0"/>
        <v>Jan</v>
      </c>
      <c r="N55" s="2" t="str">
        <f t="shared" si="1"/>
        <v>Negative</v>
      </c>
      <c r="O55" s="2" t="str">
        <f t="shared" si="2"/>
        <v>Medium</v>
      </c>
      <c r="P55" s="2" t="str">
        <f t="shared" si="3"/>
        <v>Short</v>
      </c>
      <c r="Q55" s="2" t="str">
        <f t="shared" si="4"/>
        <v>Within SLA</v>
      </c>
    </row>
    <row r="56" spans="1:17" x14ac:dyDescent="0.35">
      <c r="A56" s="5" t="s">
        <v>199</v>
      </c>
      <c r="B56" s="5" t="s">
        <v>200</v>
      </c>
      <c r="C56" s="5" t="s">
        <v>44</v>
      </c>
      <c r="D56" s="5">
        <v>8</v>
      </c>
      <c r="E56" s="6">
        <v>45315</v>
      </c>
      <c r="F56" s="5" t="s">
        <v>118</v>
      </c>
      <c r="G56" s="5" t="s">
        <v>201</v>
      </c>
      <c r="H56" s="5" t="s">
        <v>202</v>
      </c>
      <c r="I56" s="5" t="s">
        <v>20</v>
      </c>
      <c r="J56" s="5" t="s">
        <v>21</v>
      </c>
      <c r="K56" s="5">
        <v>42</v>
      </c>
      <c r="L56" s="5" t="s">
        <v>29</v>
      </c>
      <c r="M56" s="7" t="str">
        <f t="shared" si="0"/>
        <v>Jan</v>
      </c>
      <c r="N56" s="2" t="str">
        <f t="shared" si="1"/>
        <v>Positive</v>
      </c>
      <c r="O56" s="2" t="str">
        <f t="shared" si="2"/>
        <v>High</v>
      </c>
      <c r="P56" s="2" t="str">
        <f t="shared" si="3"/>
        <v>Long</v>
      </c>
      <c r="Q56" s="2" t="str">
        <f t="shared" si="4"/>
        <v>Within SLA</v>
      </c>
    </row>
    <row r="57" spans="1:17" x14ac:dyDescent="0.35">
      <c r="A57" s="5" t="s">
        <v>203</v>
      </c>
      <c r="B57" s="5" t="s">
        <v>204</v>
      </c>
      <c r="C57" s="5" t="s">
        <v>16</v>
      </c>
      <c r="D57" s="5">
        <v>8</v>
      </c>
      <c r="E57" s="6">
        <v>45315</v>
      </c>
      <c r="F57" s="5" t="s">
        <v>118</v>
      </c>
      <c r="G57" s="5" t="s">
        <v>205</v>
      </c>
      <c r="H57" s="5" t="s">
        <v>206</v>
      </c>
      <c r="I57" s="5" t="s">
        <v>20</v>
      </c>
      <c r="J57" s="5" t="s">
        <v>21</v>
      </c>
      <c r="K57" s="5">
        <v>7</v>
      </c>
      <c r="L57" s="5" t="s">
        <v>51</v>
      </c>
      <c r="M57" s="7" t="str">
        <f t="shared" si="0"/>
        <v>Jan</v>
      </c>
      <c r="N57" s="2" t="str">
        <f t="shared" si="1"/>
        <v>Neutral</v>
      </c>
      <c r="O57" s="2" t="str">
        <f t="shared" si="2"/>
        <v>High</v>
      </c>
      <c r="P57" s="2" t="str">
        <f t="shared" si="3"/>
        <v>Short</v>
      </c>
      <c r="Q57" s="2" t="str">
        <f t="shared" si="4"/>
        <v>Within SLA</v>
      </c>
    </row>
    <row r="58" spans="1:17" x14ac:dyDescent="0.35">
      <c r="A58" s="5" t="s">
        <v>207</v>
      </c>
      <c r="B58" s="5" t="s">
        <v>208</v>
      </c>
      <c r="C58" s="5" t="s">
        <v>37</v>
      </c>
      <c r="D58" s="5">
        <v>4</v>
      </c>
      <c r="E58" s="6">
        <v>45315</v>
      </c>
      <c r="F58" s="5" t="s">
        <v>55</v>
      </c>
      <c r="G58" s="5" t="s">
        <v>209</v>
      </c>
      <c r="H58" s="5" t="s">
        <v>71</v>
      </c>
      <c r="I58" s="5" t="s">
        <v>28</v>
      </c>
      <c r="J58" s="5" t="s">
        <v>21</v>
      </c>
      <c r="K58" s="5">
        <v>30</v>
      </c>
      <c r="L58" s="5" t="s">
        <v>51</v>
      </c>
      <c r="M58" s="7" t="str">
        <f t="shared" si="0"/>
        <v>Jan</v>
      </c>
      <c r="N58" s="2" t="str">
        <f t="shared" si="1"/>
        <v>Negative</v>
      </c>
      <c r="O58" s="2" t="str">
        <f t="shared" si="2"/>
        <v>Low</v>
      </c>
      <c r="P58" s="2" t="str">
        <f t="shared" si="3"/>
        <v>Medium</v>
      </c>
      <c r="Q58" s="2" t="str">
        <f t="shared" si="4"/>
        <v>Within SLA</v>
      </c>
    </row>
    <row r="59" spans="1:17" x14ac:dyDescent="0.35">
      <c r="A59" s="5" t="s">
        <v>210</v>
      </c>
      <c r="B59" s="5" t="s">
        <v>211</v>
      </c>
      <c r="C59" s="5" t="s">
        <v>25</v>
      </c>
      <c r="D59" s="5">
        <v>4</v>
      </c>
      <c r="E59" s="6">
        <v>45315</v>
      </c>
      <c r="F59" s="5" t="s">
        <v>118</v>
      </c>
      <c r="G59" s="5" t="s">
        <v>109</v>
      </c>
      <c r="H59" s="5" t="s">
        <v>39</v>
      </c>
      <c r="I59" s="5" t="s">
        <v>20</v>
      </c>
      <c r="J59" s="5" t="s">
        <v>72</v>
      </c>
      <c r="K59" s="5">
        <v>22</v>
      </c>
      <c r="L59" s="5" t="s">
        <v>51</v>
      </c>
      <c r="M59" s="7" t="str">
        <f t="shared" si="0"/>
        <v>Jan</v>
      </c>
      <c r="N59" s="2" t="str">
        <f t="shared" si="1"/>
        <v>Negative</v>
      </c>
      <c r="O59" s="2" t="str">
        <f t="shared" si="2"/>
        <v>Low</v>
      </c>
      <c r="P59" s="2" t="str">
        <f t="shared" si="3"/>
        <v>Medium</v>
      </c>
      <c r="Q59" s="2" t="str">
        <f t="shared" si="4"/>
        <v>Above SLA</v>
      </c>
    </row>
    <row r="60" spans="1:17" x14ac:dyDescent="0.35">
      <c r="A60" s="5" t="s">
        <v>212</v>
      </c>
      <c r="B60" s="5" t="s">
        <v>213</v>
      </c>
      <c r="C60" s="5" t="s">
        <v>44</v>
      </c>
      <c r="D60" s="5">
        <v>7</v>
      </c>
      <c r="E60" s="6">
        <v>45316</v>
      </c>
      <c r="F60" s="5" t="s">
        <v>17</v>
      </c>
      <c r="G60" s="5" t="s">
        <v>214</v>
      </c>
      <c r="H60" s="5" t="s">
        <v>215</v>
      </c>
      <c r="I60" s="5" t="s">
        <v>28</v>
      </c>
      <c r="J60" s="5" t="s">
        <v>21</v>
      </c>
      <c r="K60" s="5">
        <v>8</v>
      </c>
      <c r="L60" s="5" t="s">
        <v>51</v>
      </c>
      <c r="M60" s="7" t="str">
        <f t="shared" si="0"/>
        <v>Jan</v>
      </c>
      <c r="N60" s="2" t="str">
        <f t="shared" si="1"/>
        <v>Positive</v>
      </c>
      <c r="O60" s="2" t="str">
        <f t="shared" si="2"/>
        <v>Medium</v>
      </c>
      <c r="P60" s="2" t="str">
        <f t="shared" si="3"/>
        <v>Short</v>
      </c>
      <c r="Q60" s="2" t="str">
        <f t="shared" si="4"/>
        <v>Within SLA</v>
      </c>
    </row>
    <row r="61" spans="1:17" x14ac:dyDescent="0.35">
      <c r="A61" s="5" t="s">
        <v>216</v>
      </c>
      <c r="B61" s="5" t="s">
        <v>217</v>
      </c>
      <c r="C61" s="5" t="s">
        <v>37</v>
      </c>
      <c r="D61" s="5">
        <v>3</v>
      </c>
      <c r="E61" s="6">
        <v>45316</v>
      </c>
      <c r="F61" s="5" t="s">
        <v>17</v>
      </c>
      <c r="G61" s="5" t="s">
        <v>218</v>
      </c>
      <c r="H61" s="5" t="s">
        <v>198</v>
      </c>
      <c r="I61" s="5" t="s">
        <v>20</v>
      </c>
      <c r="J61" s="5" t="s">
        <v>72</v>
      </c>
      <c r="K61" s="5">
        <v>44</v>
      </c>
      <c r="L61" s="5" t="s">
        <v>51</v>
      </c>
      <c r="M61" s="7" t="str">
        <f t="shared" si="0"/>
        <v>Jan</v>
      </c>
      <c r="N61" s="2" t="str">
        <f t="shared" si="1"/>
        <v>Negative</v>
      </c>
      <c r="O61" s="2" t="str">
        <f t="shared" si="2"/>
        <v>Low</v>
      </c>
      <c r="P61" s="2" t="str">
        <f t="shared" si="3"/>
        <v>Long</v>
      </c>
      <c r="Q61" s="2" t="str">
        <f t="shared" si="4"/>
        <v>Above SLA</v>
      </c>
    </row>
    <row r="62" spans="1:17" x14ac:dyDescent="0.35">
      <c r="A62" s="5" t="s">
        <v>219</v>
      </c>
      <c r="B62" s="5" t="s">
        <v>220</v>
      </c>
      <c r="C62" s="5" t="s">
        <v>37</v>
      </c>
      <c r="D62" s="5">
        <v>1</v>
      </c>
      <c r="E62" s="6">
        <v>45317</v>
      </c>
      <c r="F62" s="5" t="s">
        <v>17</v>
      </c>
      <c r="G62" s="5" t="s">
        <v>157</v>
      </c>
      <c r="H62" s="5" t="s">
        <v>158</v>
      </c>
      <c r="I62" s="5" t="s">
        <v>20</v>
      </c>
      <c r="J62" s="5" t="s">
        <v>21</v>
      </c>
      <c r="K62" s="5">
        <v>34</v>
      </c>
      <c r="L62" s="5" t="s">
        <v>51</v>
      </c>
      <c r="M62" s="7" t="str">
        <f t="shared" si="0"/>
        <v>Jan</v>
      </c>
      <c r="N62" s="2" t="str">
        <f t="shared" si="1"/>
        <v>Negative</v>
      </c>
      <c r="O62" s="2" t="str">
        <f t="shared" si="2"/>
        <v>Low</v>
      </c>
      <c r="P62" s="2" t="str">
        <f t="shared" si="3"/>
        <v>Long</v>
      </c>
      <c r="Q62" s="2" t="str">
        <f t="shared" si="4"/>
        <v>Within SLA</v>
      </c>
    </row>
    <row r="63" spans="1:17" x14ac:dyDescent="0.35">
      <c r="A63" s="5" t="s">
        <v>221</v>
      </c>
      <c r="B63" s="5" t="s">
        <v>222</v>
      </c>
      <c r="C63" s="5" t="s">
        <v>25</v>
      </c>
      <c r="D63" s="5">
        <v>6</v>
      </c>
      <c r="E63" s="6">
        <v>45317</v>
      </c>
      <c r="F63" s="5" t="s">
        <v>17</v>
      </c>
      <c r="G63" s="5" t="s">
        <v>122</v>
      </c>
      <c r="H63" s="5" t="s">
        <v>123</v>
      </c>
      <c r="I63" s="5" t="s">
        <v>28</v>
      </c>
      <c r="J63" s="5" t="s">
        <v>21</v>
      </c>
      <c r="K63" s="5">
        <v>18</v>
      </c>
      <c r="L63" s="5" t="s">
        <v>29</v>
      </c>
      <c r="M63" s="7" t="str">
        <f t="shared" si="0"/>
        <v>Jan</v>
      </c>
      <c r="N63" s="2" t="str">
        <f t="shared" si="1"/>
        <v>Negative</v>
      </c>
      <c r="O63" s="2" t="str">
        <f t="shared" si="2"/>
        <v>Medium</v>
      </c>
      <c r="P63" s="2" t="str">
        <f t="shared" si="3"/>
        <v>Medium</v>
      </c>
      <c r="Q63" s="2" t="str">
        <f t="shared" si="4"/>
        <v>Within SLA</v>
      </c>
    </row>
    <row r="64" spans="1:17" x14ac:dyDescent="0.35">
      <c r="A64" s="5" t="s">
        <v>223</v>
      </c>
      <c r="B64" s="5" t="s">
        <v>224</v>
      </c>
      <c r="C64" s="5" t="s">
        <v>25</v>
      </c>
      <c r="D64" s="5">
        <v>4</v>
      </c>
      <c r="E64" s="6">
        <v>45318</v>
      </c>
      <c r="F64" s="5" t="s">
        <v>17</v>
      </c>
      <c r="G64" s="5" t="s">
        <v>225</v>
      </c>
      <c r="H64" s="5" t="s">
        <v>202</v>
      </c>
      <c r="I64" s="5" t="s">
        <v>40</v>
      </c>
      <c r="J64" s="5" t="s">
        <v>21</v>
      </c>
      <c r="K64" s="5">
        <v>23</v>
      </c>
      <c r="L64" s="5" t="s">
        <v>29</v>
      </c>
      <c r="M64" s="7" t="str">
        <f t="shared" si="0"/>
        <v>Jan</v>
      </c>
      <c r="N64" s="2" t="str">
        <f t="shared" si="1"/>
        <v>Negative</v>
      </c>
      <c r="O64" s="2" t="str">
        <f t="shared" si="2"/>
        <v>Low</v>
      </c>
      <c r="P64" s="2" t="str">
        <f t="shared" si="3"/>
        <v>Medium</v>
      </c>
      <c r="Q64" s="2" t="str">
        <f t="shared" si="4"/>
        <v>Within SLA</v>
      </c>
    </row>
    <row r="65" spans="1:17" x14ac:dyDescent="0.35">
      <c r="A65" s="5" t="s">
        <v>226</v>
      </c>
      <c r="B65" s="5" t="s">
        <v>227</v>
      </c>
      <c r="C65" s="5" t="s">
        <v>16</v>
      </c>
      <c r="D65" s="5">
        <v>7</v>
      </c>
      <c r="E65" s="6">
        <v>45318</v>
      </c>
      <c r="F65" s="5" t="s">
        <v>17</v>
      </c>
      <c r="G65" s="5" t="s">
        <v>228</v>
      </c>
      <c r="H65" s="5" t="s">
        <v>198</v>
      </c>
      <c r="I65" s="5" t="s">
        <v>28</v>
      </c>
      <c r="J65" s="5" t="s">
        <v>21</v>
      </c>
      <c r="K65" s="5">
        <v>37</v>
      </c>
      <c r="L65" s="5" t="s">
        <v>29</v>
      </c>
      <c r="M65" s="7" t="str">
        <f t="shared" si="0"/>
        <v>Jan</v>
      </c>
      <c r="N65" s="2" t="str">
        <f t="shared" si="1"/>
        <v>Neutral</v>
      </c>
      <c r="O65" s="2" t="str">
        <f t="shared" si="2"/>
        <v>Medium</v>
      </c>
      <c r="P65" s="2" t="str">
        <f t="shared" si="3"/>
        <v>Long</v>
      </c>
      <c r="Q65" s="2" t="str">
        <f t="shared" si="4"/>
        <v>Within SLA</v>
      </c>
    </row>
    <row r="66" spans="1:17" x14ac:dyDescent="0.35">
      <c r="A66" s="5" t="s">
        <v>229</v>
      </c>
      <c r="B66" s="5" t="s">
        <v>230</v>
      </c>
      <c r="C66" s="5" t="s">
        <v>54</v>
      </c>
      <c r="D66" s="5">
        <v>9</v>
      </c>
      <c r="E66" s="6">
        <v>45319</v>
      </c>
      <c r="F66" s="5" t="s">
        <v>17</v>
      </c>
      <c r="G66" s="5" t="s">
        <v>231</v>
      </c>
      <c r="H66" s="5" t="s">
        <v>79</v>
      </c>
      <c r="I66" s="5" t="s">
        <v>47</v>
      </c>
      <c r="J66" s="5" t="s">
        <v>21</v>
      </c>
      <c r="K66" s="5">
        <v>14</v>
      </c>
      <c r="L66" s="5" t="s">
        <v>51</v>
      </c>
      <c r="M66" s="7" t="str">
        <f t="shared" si="0"/>
        <v>Jan</v>
      </c>
      <c r="N66" s="2" t="str">
        <f t="shared" si="1"/>
        <v>Positive</v>
      </c>
      <c r="O66" s="2" t="str">
        <f t="shared" si="2"/>
        <v>High</v>
      </c>
      <c r="P66" s="2" t="str">
        <f t="shared" si="3"/>
        <v>Short</v>
      </c>
      <c r="Q66" s="2" t="str">
        <f t="shared" si="4"/>
        <v>Within SLA</v>
      </c>
    </row>
    <row r="67" spans="1:17" x14ac:dyDescent="0.35">
      <c r="A67" s="5" t="s">
        <v>232</v>
      </c>
      <c r="B67" s="5" t="s">
        <v>233</v>
      </c>
      <c r="C67" s="5" t="s">
        <v>25</v>
      </c>
      <c r="D67" s="5">
        <v>5</v>
      </c>
      <c r="E67" s="6">
        <v>45319</v>
      </c>
      <c r="F67" s="5" t="s">
        <v>17</v>
      </c>
      <c r="G67" s="5" t="s">
        <v>234</v>
      </c>
      <c r="H67" s="5" t="s">
        <v>186</v>
      </c>
      <c r="I67" s="5" t="s">
        <v>47</v>
      </c>
      <c r="J67" s="5" t="s">
        <v>21</v>
      </c>
      <c r="K67" s="5">
        <v>31</v>
      </c>
      <c r="L67" s="5" t="s">
        <v>34</v>
      </c>
      <c r="M67" s="7" t="str">
        <f t="shared" si="0"/>
        <v>Jan</v>
      </c>
      <c r="N67" s="2" t="str">
        <f t="shared" si="1"/>
        <v>Negative</v>
      </c>
      <c r="O67" s="2" t="str">
        <f t="shared" si="2"/>
        <v>Medium</v>
      </c>
      <c r="P67" s="2" t="str">
        <f t="shared" si="3"/>
        <v>Long</v>
      </c>
      <c r="Q67" s="2" t="str">
        <f t="shared" si="4"/>
        <v>Within SLA</v>
      </c>
    </row>
    <row r="68" spans="1:17" x14ac:dyDescent="0.35">
      <c r="A68" s="5" t="s">
        <v>235</v>
      </c>
      <c r="B68" s="5" t="s">
        <v>236</v>
      </c>
      <c r="C68" s="5" t="s">
        <v>37</v>
      </c>
      <c r="D68" s="5">
        <v>1</v>
      </c>
      <c r="E68" s="6">
        <v>45320</v>
      </c>
      <c r="F68" s="5" t="s">
        <v>55</v>
      </c>
      <c r="G68" s="5" t="s">
        <v>237</v>
      </c>
      <c r="H68" s="5" t="s">
        <v>198</v>
      </c>
      <c r="I68" s="5" t="s">
        <v>28</v>
      </c>
      <c r="J68" s="5" t="s">
        <v>21</v>
      </c>
      <c r="K68" s="5">
        <v>10</v>
      </c>
      <c r="L68" s="5" t="s">
        <v>34</v>
      </c>
      <c r="M68" s="7" t="str">
        <f t="shared" si="0"/>
        <v>Jan</v>
      </c>
      <c r="N68" s="2" t="str">
        <f t="shared" si="1"/>
        <v>Negative</v>
      </c>
      <c r="O68" s="2" t="str">
        <f t="shared" si="2"/>
        <v>Low</v>
      </c>
      <c r="P68" s="2" t="str">
        <f t="shared" si="3"/>
        <v>Short</v>
      </c>
      <c r="Q68" s="2" t="str">
        <f t="shared" si="4"/>
        <v>Within SLA</v>
      </c>
    </row>
    <row r="69" spans="1:17" x14ac:dyDescent="0.35">
      <c r="A69" s="5" t="s">
        <v>238</v>
      </c>
      <c r="B69" s="5" t="s">
        <v>239</v>
      </c>
      <c r="C69" s="5" t="s">
        <v>25</v>
      </c>
      <c r="D69" s="5">
        <v>3</v>
      </c>
      <c r="E69" s="6">
        <v>45320</v>
      </c>
      <c r="F69" s="5" t="s">
        <v>17</v>
      </c>
      <c r="G69" s="5" t="s">
        <v>240</v>
      </c>
      <c r="H69" s="5" t="s">
        <v>33</v>
      </c>
      <c r="I69" s="5" t="s">
        <v>20</v>
      </c>
      <c r="J69" s="5" t="s">
        <v>72</v>
      </c>
      <c r="K69" s="5">
        <v>45</v>
      </c>
      <c r="L69" s="5" t="s">
        <v>51</v>
      </c>
      <c r="M69" s="7" t="str">
        <f t="shared" si="0"/>
        <v>Jan</v>
      </c>
      <c r="N69" s="2" t="str">
        <f t="shared" si="1"/>
        <v>Negative</v>
      </c>
      <c r="O69" s="2" t="str">
        <f t="shared" si="2"/>
        <v>Low</v>
      </c>
      <c r="P69" s="2" t="str">
        <f t="shared" si="3"/>
        <v>Long</v>
      </c>
      <c r="Q69" s="2" t="str">
        <f t="shared" si="4"/>
        <v>Above SLA</v>
      </c>
    </row>
    <row r="70" spans="1:17" x14ac:dyDescent="0.35">
      <c r="A70" s="5" t="s">
        <v>241</v>
      </c>
      <c r="B70" s="5" t="s">
        <v>242</v>
      </c>
      <c r="C70" s="5" t="s">
        <v>25</v>
      </c>
      <c r="D70" s="5">
        <v>5</v>
      </c>
      <c r="E70" s="6">
        <v>45320</v>
      </c>
      <c r="F70" s="5" t="s">
        <v>17</v>
      </c>
      <c r="G70" s="5" t="s">
        <v>59</v>
      </c>
      <c r="H70" s="5" t="s">
        <v>60</v>
      </c>
      <c r="I70" s="5" t="s">
        <v>40</v>
      </c>
      <c r="J70" s="5" t="s">
        <v>21</v>
      </c>
      <c r="K70" s="5">
        <v>8</v>
      </c>
      <c r="L70" s="5" t="s">
        <v>34</v>
      </c>
      <c r="M70" s="7" t="str">
        <f t="shared" si="0"/>
        <v>Jan</v>
      </c>
      <c r="N70" s="2" t="str">
        <f t="shared" si="1"/>
        <v>Negative</v>
      </c>
      <c r="O70" s="2" t="str">
        <f t="shared" si="2"/>
        <v>Medium</v>
      </c>
      <c r="P70" s="2" t="str">
        <f t="shared" si="3"/>
        <v>Short</v>
      </c>
      <c r="Q70" s="2" t="str">
        <f t="shared" si="4"/>
        <v>Within SLA</v>
      </c>
    </row>
    <row r="71" spans="1:17" x14ac:dyDescent="0.35">
      <c r="A71" s="5" t="s">
        <v>243</v>
      </c>
      <c r="B71" s="5" t="s">
        <v>244</v>
      </c>
      <c r="C71" s="5" t="s">
        <v>44</v>
      </c>
      <c r="D71" s="5">
        <v>8</v>
      </c>
      <c r="E71" s="6">
        <v>45320</v>
      </c>
      <c r="F71" s="5" t="s">
        <v>17</v>
      </c>
      <c r="G71" s="5" t="s">
        <v>245</v>
      </c>
      <c r="H71" s="5" t="s">
        <v>71</v>
      </c>
      <c r="I71" s="5" t="s">
        <v>40</v>
      </c>
      <c r="J71" s="5" t="s">
        <v>41</v>
      </c>
      <c r="K71" s="5">
        <v>35</v>
      </c>
      <c r="L71" s="5" t="s">
        <v>29</v>
      </c>
      <c r="M71" s="7" t="str">
        <f t="shared" si="0"/>
        <v>Jan</v>
      </c>
      <c r="N71" s="2" t="str">
        <f t="shared" si="1"/>
        <v>Positive</v>
      </c>
      <c r="O71" s="2" t="str">
        <f t="shared" si="2"/>
        <v>High</v>
      </c>
      <c r="P71" s="2" t="str">
        <f t="shared" si="3"/>
        <v>Long</v>
      </c>
      <c r="Q71" s="2" t="str">
        <f t="shared" si="4"/>
        <v>Above SLA</v>
      </c>
    </row>
    <row r="72" spans="1:17" x14ac:dyDescent="0.35">
      <c r="A72" s="5" t="s">
        <v>246</v>
      </c>
      <c r="B72" s="5" t="s">
        <v>247</v>
      </c>
      <c r="C72" s="5" t="s">
        <v>54</v>
      </c>
      <c r="D72" s="5">
        <v>9</v>
      </c>
      <c r="E72" s="6">
        <v>45320</v>
      </c>
      <c r="F72" s="5" t="s">
        <v>55</v>
      </c>
      <c r="G72" s="5" t="s">
        <v>112</v>
      </c>
      <c r="H72" s="5" t="s">
        <v>33</v>
      </c>
      <c r="I72" s="5" t="s">
        <v>28</v>
      </c>
      <c r="J72" s="5" t="s">
        <v>21</v>
      </c>
      <c r="K72" s="5">
        <v>33</v>
      </c>
      <c r="L72" s="5" t="s">
        <v>29</v>
      </c>
      <c r="M72" s="7" t="str">
        <f t="shared" ref="M72:M76" si="5">TEXT(E72,"mmm")</f>
        <v>Jan</v>
      </c>
      <c r="N72" s="2" t="str">
        <f t="shared" ref="N72:N76" si="6">IF(OR(C72="Positive",C72="Very Positive"),"Positive",IF(OR(C72="Negative",C72="Very Negative"),"Negative","Neutral"))</f>
        <v>Positive</v>
      </c>
      <c r="O72" s="2" t="str">
        <f t="shared" ref="O72:O75" si="7">IF(D72&lt;=4,"Low",
IF(D72&lt;=7,"Medium","High"))</f>
        <v>High</v>
      </c>
      <c r="P72" s="2" t="str">
        <f t="shared" ref="P72:P76" si="8">IF(K72&lt;=15,"Short",
IF(K72&lt;=30,"Medium","Long"))</f>
        <v>Long</v>
      </c>
      <c r="Q72" s="2" t="str">
        <f t="shared" ref="Q72:Q76" si="9">IF(J72="Within SLA","Within SLA","Above SLA")</f>
        <v>Within SLA</v>
      </c>
    </row>
    <row r="73" spans="1:17" x14ac:dyDescent="0.35">
      <c r="A73" s="5" t="s">
        <v>248</v>
      </c>
      <c r="B73" s="5" t="s">
        <v>249</v>
      </c>
      <c r="C73" s="5" t="s">
        <v>16</v>
      </c>
      <c r="D73" s="5">
        <v>8</v>
      </c>
      <c r="E73" s="6">
        <v>45321</v>
      </c>
      <c r="F73" s="5" t="s">
        <v>55</v>
      </c>
      <c r="G73" s="5" t="s">
        <v>197</v>
      </c>
      <c r="H73" s="5" t="s">
        <v>198</v>
      </c>
      <c r="I73" s="5" t="s">
        <v>28</v>
      </c>
      <c r="J73" s="5" t="s">
        <v>21</v>
      </c>
      <c r="K73" s="5">
        <v>8</v>
      </c>
      <c r="L73" s="5" t="s">
        <v>51</v>
      </c>
      <c r="M73" s="7" t="str">
        <f t="shared" si="5"/>
        <v>Jan</v>
      </c>
      <c r="N73" s="2" t="str">
        <f t="shared" si="6"/>
        <v>Neutral</v>
      </c>
      <c r="O73" s="2" t="str">
        <f t="shared" si="7"/>
        <v>High</v>
      </c>
      <c r="P73" s="2" t="str">
        <f t="shared" si="8"/>
        <v>Short</v>
      </c>
      <c r="Q73" s="2" t="str">
        <f t="shared" si="9"/>
        <v>Within SLA</v>
      </c>
    </row>
    <row r="74" spans="1:17" x14ac:dyDescent="0.35">
      <c r="A74" s="5" t="s">
        <v>250</v>
      </c>
      <c r="B74" s="5" t="s">
        <v>251</v>
      </c>
      <c r="C74" s="5" t="s">
        <v>25</v>
      </c>
      <c r="D74" s="5">
        <v>3</v>
      </c>
      <c r="E74" s="6">
        <v>45321</v>
      </c>
      <c r="F74" s="5" t="s">
        <v>17</v>
      </c>
      <c r="G74" s="5" t="s">
        <v>252</v>
      </c>
      <c r="H74" s="5" t="s">
        <v>253</v>
      </c>
      <c r="I74" s="5" t="s">
        <v>47</v>
      </c>
      <c r="J74" s="5" t="s">
        <v>21</v>
      </c>
      <c r="K74" s="5">
        <v>19</v>
      </c>
      <c r="L74" s="5" t="s">
        <v>51</v>
      </c>
      <c r="M74" s="7" t="str">
        <f t="shared" si="5"/>
        <v>Jan</v>
      </c>
      <c r="N74" s="2" t="str">
        <f t="shared" si="6"/>
        <v>Negative</v>
      </c>
      <c r="O74" s="2" t="str">
        <f t="shared" si="7"/>
        <v>Low</v>
      </c>
      <c r="P74" s="2" t="str">
        <f t="shared" si="8"/>
        <v>Medium</v>
      </c>
      <c r="Q74" s="2" t="str">
        <f t="shared" si="9"/>
        <v>Within SLA</v>
      </c>
    </row>
    <row r="75" spans="1:17" x14ac:dyDescent="0.35">
      <c r="A75" s="5" t="s">
        <v>254</v>
      </c>
      <c r="B75" s="5" t="s">
        <v>255</v>
      </c>
      <c r="C75" s="5" t="s">
        <v>25</v>
      </c>
      <c r="D75" s="5">
        <v>3</v>
      </c>
      <c r="E75" s="6">
        <v>45322</v>
      </c>
      <c r="F75" s="5" t="s">
        <v>17</v>
      </c>
      <c r="G75" s="5" t="s">
        <v>252</v>
      </c>
      <c r="H75" s="5" t="s">
        <v>256</v>
      </c>
      <c r="I75" s="5" t="s">
        <v>47</v>
      </c>
      <c r="J75" s="5" t="s">
        <v>21</v>
      </c>
      <c r="K75" s="5">
        <v>23</v>
      </c>
      <c r="L75" s="5" t="s">
        <v>29</v>
      </c>
      <c r="M75" s="7" t="str">
        <f t="shared" si="5"/>
        <v>Jan</v>
      </c>
      <c r="N75" s="2" t="str">
        <f t="shared" si="6"/>
        <v>Negative</v>
      </c>
      <c r="O75" s="2" t="str">
        <f t="shared" si="7"/>
        <v>Low</v>
      </c>
      <c r="P75" s="2" t="str">
        <f t="shared" si="8"/>
        <v>Medium</v>
      </c>
      <c r="Q75" s="2" t="str">
        <f t="shared" si="9"/>
        <v>Within SLA</v>
      </c>
    </row>
    <row r="76" spans="1:17" x14ac:dyDescent="0.35">
      <c r="A76" s="5" t="s">
        <v>257</v>
      </c>
      <c r="B76" s="5" t="s">
        <v>258</v>
      </c>
      <c r="C76" s="5" t="s">
        <v>25</v>
      </c>
      <c r="D76" s="5">
        <v>5</v>
      </c>
      <c r="E76" s="6">
        <v>45322</v>
      </c>
      <c r="F76" s="5" t="s">
        <v>118</v>
      </c>
      <c r="G76" s="5" t="s">
        <v>101</v>
      </c>
      <c r="H76" s="5" t="s">
        <v>102</v>
      </c>
      <c r="I76" s="5" t="s">
        <v>20</v>
      </c>
      <c r="J76" s="5" t="s">
        <v>41</v>
      </c>
      <c r="K76" s="5">
        <v>35</v>
      </c>
      <c r="L76" s="5" t="s">
        <v>29</v>
      </c>
      <c r="M76" s="7" t="str">
        <f t="shared" si="5"/>
        <v>Jan</v>
      </c>
      <c r="N76" s="2" t="str">
        <f t="shared" si="6"/>
        <v>Negative</v>
      </c>
      <c r="O76" s="2" t="str">
        <f>IF(D76&lt;=4,"Low",
IF(D76&lt;=7,"Medium","High"))</f>
        <v>Medium</v>
      </c>
      <c r="P76" s="2" t="str">
        <f t="shared" si="8"/>
        <v>Long</v>
      </c>
      <c r="Q76" s="2" t="str">
        <f t="shared" si="9"/>
        <v>Above SLA</v>
      </c>
    </row>
  </sheetData>
  <autoFilter ref="A6:N6" xr:uid="{BD313138-9CBD-4035-AB67-31EA62F60B54}"/>
  <mergeCells count="2">
    <mergeCell ref="H2:I2"/>
    <mergeCell ref="G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51580-FB7A-410E-BCE9-4AAFB1A371B7}">
  <dimension ref="A1:S38"/>
  <sheetViews>
    <sheetView showGridLines="0" zoomScale="57" zoomScaleNormal="60" workbookViewId="0">
      <selection activeCell="Q11" sqref="Q11"/>
    </sheetView>
  </sheetViews>
  <sheetFormatPr defaultRowHeight="14.5" x14ac:dyDescent="0.35"/>
  <cols>
    <col min="1" max="1" width="13.54296875" customWidth="1"/>
    <col min="2" max="2" width="15.6328125" customWidth="1"/>
    <col min="3" max="3" width="14.54296875" customWidth="1"/>
    <col min="4" max="4" width="16" customWidth="1"/>
    <col min="5" max="5" width="11.453125" customWidth="1"/>
    <col min="6" max="6" width="12.6328125" customWidth="1"/>
    <col min="7" max="7" width="14.453125" customWidth="1"/>
    <col min="8" max="8" width="13.54296875" customWidth="1"/>
    <col min="9" max="9" width="21.6328125" customWidth="1"/>
    <col min="10" max="10" width="6" customWidth="1"/>
    <col min="11" max="11" width="13.26953125" customWidth="1"/>
    <col min="12" max="12" width="19.81640625" customWidth="1"/>
    <col min="13" max="13" width="6" customWidth="1"/>
  </cols>
  <sheetData>
    <row r="1" spans="1:19" ht="15" customHeight="1" x14ac:dyDescent="0.35">
      <c r="A1" s="114" t="s">
        <v>305</v>
      </c>
      <c r="B1" s="115"/>
      <c r="C1" s="115"/>
      <c r="D1" s="115"/>
      <c r="E1" s="115"/>
      <c r="F1" s="115"/>
      <c r="G1" s="115"/>
      <c r="H1" s="115"/>
      <c r="I1" s="115"/>
      <c r="J1" s="115"/>
      <c r="K1" s="115"/>
      <c r="L1" s="115"/>
      <c r="M1" s="115"/>
      <c r="N1" s="115"/>
    </row>
    <row r="2" spans="1:19" ht="15" customHeight="1" x14ac:dyDescent="0.35">
      <c r="A2" s="114"/>
      <c r="B2" s="115"/>
      <c r="C2" s="115"/>
      <c r="D2" s="115"/>
      <c r="E2" s="115"/>
      <c r="F2" s="115"/>
      <c r="G2" s="115"/>
      <c r="H2" s="115"/>
      <c r="I2" s="115"/>
      <c r="J2" s="115"/>
      <c r="K2" s="115"/>
      <c r="L2" s="115"/>
      <c r="M2" s="115"/>
      <c r="N2" s="115"/>
    </row>
    <row r="3" spans="1:19" ht="15" customHeight="1" x14ac:dyDescent="0.35">
      <c r="A3" s="114"/>
      <c r="B3" s="115"/>
      <c r="C3" s="115"/>
      <c r="D3" s="115"/>
      <c r="E3" s="115"/>
      <c r="F3" s="115"/>
      <c r="G3" s="115"/>
      <c r="H3" s="115"/>
      <c r="I3" s="115"/>
      <c r="J3" s="115"/>
      <c r="K3" s="115"/>
      <c r="L3" s="115"/>
      <c r="M3" s="115"/>
      <c r="N3" s="115"/>
    </row>
    <row r="4" spans="1:19" ht="15" customHeight="1" x14ac:dyDescent="0.35">
      <c r="A4" s="114"/>
      <c r="B4" s="115"/>
      <c r="C4" s="115"/>
      <c r="D4" s="115"/>
      <c r="E4" s="115"/>
      <c r="F4" s="115"/>
      <c r="G4" s="115"/>
      <c r="H4" s="115"/>
      <c r="I4" s="115"/>
      <c r="J4" s="115"/>
      <c r="K4" s="115"/>
      <c r="L4" s="115"/>
      <c r="M4" s="115"/>
      <c r="N4" s="115"/>
    </row>
    <row r="5" spans="1:19" x14ac:dyDescent="0.35">
      <c r="A5" s="28"/>
      <c r="B5" s="28"/>
      <c r="C5" s="28"/>
      <c r="D5" s="28"/>
      <c r="E5" s="28"/>
      <c r="F5" s="28"/>
      <c r="I5" s="28"/>
      <c r="J5" s="28"/>
      <c r="K5" s="28"/>
      <c r="L5" s="28"/>
    </row>
    <row r="6" spans="1:19" x14ac:dyDescent="0.35">
      <c r="A6" s="22" t="s">
        <v>4</v>
      </c>
      <c r="B6" t="s">
        <v>266</v>
      </c>
      <c r="D6" s="22" t="s">
        <v>7</v>
      </c>
      <c r="E6" t="s">
        <v>266</v>
      </c>
      <c r="G6" s="22"/>
      <c r="H6" s="22"/>
      <c r="I6" s="22" t="s">
        <v>301</v>
      </c>
      <c r="J6" t="s">
        <v>266</v>
      </c>
      <c r="L6" s="22" t="s">
        <v>9</v>
      </c>
      <c r="M6" t="s">
        <v>266</v>
      </c>
      <c r="N6" s="22"/>
      <c r="O6" s="22"/>
      <c r="P6" s="22"/>
      <c r="Q6" s="22"/>
      <c r="R6" s="22"/>
      <c r="S6" s="22"/>
    </row>
    <row r="7" spans="1:19" x14ac:dyDescent="0.35">
      <c r="A7" s="23" t="s">
        <v>25</v>
      </c>
      <c r="B7" s="24">
        <v>44</v>
      </c>
      <c r="C7" s="31"/>
      <c r="D7" s="23" t="s">
        <v>118</v>
      </c>
      <c r="E7" s="27">
        <v>8</v>
      </c>
      <c r="I7" s="29" t="s">
        <v>270</v>
      </c>
      <c r="J7" s="24">
        <v>2</v>
      </c>
      <c r="K7" s="24"/>
      <c r="L7" s="23" t="s">
        <v>46</v>
      </c>
      <c r="M7" s="24">
        <v>2</v>
      </c>
    </row>
    <row r="8" spans="1:19" x14ac:dyDescent="0.35">
      <c r="A8" s="23" t="s">
        <v>16</v>
      </c>
      <c r="B8" s="24">
        <v>9</v>
      </c>
      <c r="C8" s="31"/>
      <c r="D8" s="23" t="s">
        <v>55</v>
      </c>
      <c r="E8" s="27">
        <v>12</v>
      </c>
      <c r="I8" s="29" t="s">
        <v>271</v>
      </c>
      <c r="J8" s="24">
        <v>3</v>
      </c>
      <c r="K8" s="24"/>
      <c r="L8" s="23" t="s">
        <v>83</v>
      </c>
      <c r="M8" s="24">
        <v>1</v>
      </c>
    </row>
    <row r="9" spans="1:19" x14ac:dyDescent="0.35">
      <c r="A9" s="23" t="s">
        <v>44</v>
      </c>
      <c r="B9" s="24">
        <v>17</v>
      </c>
      <c r="C9" s="31"/>
      <c r="D9" s="23" t="s">
        <v>17</v>
      </c>
      <c r="E9" s="27">
        <v>50</v>
      </c>
      <c r="I9" s="29" t="s">
        <v>272</v>
      </c>
      <c r="J9" s="24">
        <v>2</v>
      </c>
      <c r="K9" s="24"/>
      <c r="L9" s="23" t="s">
        <v>60</v>
      </c>
      <c r="M9" s="24">
        <v>2</v>
      </c>
    </row>
    <row r="10" spans="1:19" x14ac:dyDescent="0.35">
      <c r="A10" s="23" t="s">
        <v>265</v>
      </c>
      <c r="B10" s="24">
        <v>70</v>
      </c>
      <c r="C10" s="31"/>
      <c r="D10" s="23" t="s">
        <v>265</v>
      </c>
      <c r="E10" s="27">
        <v>70</v>
      </c>
      <c r="I10" s="29" t="s">
        <v>273</v>
      </c>
      <c r="J10" s="24">
        <v>2</v>
      </c>
      <c r="K10" s="24"/>
      <c r="L10" s="23" t="s">
        <v>71</v>
      </c>
      <c r="M10" s="24">
        <v>9</v>
      </c>
    </row>
    <row r="11" spans="1:19" x14ac:dyDescent="0.35">
      <c r="A11" s="28"/>
      <c r="B11" s="28"/>
      <c r="C11" s="28"/>
      <c r="I11" s="29" t="s">
        <v>274</v>
      </c>
      <c r="J11" s="24">
        <v>2</v>
      </c>
      <c r="K11" s="24"/>
      <c r="L11" s="23" t="s">
        <v>127</v>
      </c>
      <c r="M11" s="24">
        <v>1</v>
      </c>
    </row>
    <row r="12" spans="1:19" x14ac:dyDescent="0.35">
      <c r="A12" s="22" t="s">
        <v>10</v>
      </c>
      <c r="B12" t="s">
        <v>267</v>
      </c>
      <c r="D12" s="22" t="s">
        <v>4</v>
      </c>
      <c r="E12" t="s">
        <v>266</v>
      </c>
      <c r="F12" t="s">
        <v>268</v>
      </c>
      <c r="G12" t="s">
        <v>269</v>
      </c>
      <c r="I12" s="29" t="s">
        <v>275</v>
      </c>
      <c r="J12" s="24">
        <v>2</v>
      </c>
      <c r="K12" s="24"/>
      <c r="L12" s="23" t="s">
        <v>98</v>
      </c>
      <c r="M12" s="24">
        <v>2</v>
      </c>
      <c r="N12" s="22"/>
      <c r="O12" s="22"/>
      <c r="P12" s="22"/>
      <c r="Q12" s="22"/>
    </row>
    <row r="13" spans="1:19" x14ac:dyDescent="0.35">
      <c r="A13" s="23" t="s">
        <v>28</v>
      </c>
      <c r="B13" s="25">
        <v>5.6956521739130439</v>
      </c>
      <c r="C13" s="25"/>
      <c r="D13" s="23" t="s">
        <v>25</v>
      </c>
      <c r="E13" s="27">
        <v>29</v>
      </c>
      <c r="F13" s="25">
        <v>4.1724137931034484</v>
      </c>
      <c r="G13" s="26">
        <v>27.689655172413794</v>
      </c>
      <c r="H13" s="26"/>
      <c r="I13" s="29" t="s">
        <v>276</v>
      </c>
      <c r="J13" s="24">
        <v>2</v>
      </c>
      <c r="K13" s="24"/>
      <c r="L13" s="23" t="s">
        <v>39</v>
      </c>
      <c r="M13" s="24">
        <v>7</v>
      </c>
    </row>
    <row r="14" spans="1:19" x14ac:dyDescent="0.35">
      <c r="A14" s="23" t="s">
        <v>40</v>
      </c>
      <c r="B14" s="25">
        <v>5.5</v>
      </c>
      <c r="C14" s="25"/>
      <c r="D14" s="23" t="s">
        <v>16</v>
      </c>
      <c r="E14" s="27">
        <v>9</v>
      </c>
      <c r="F14" s="25">
        <v>7</v>
      </c>
      <c r="G14" s="26">
        <v>20.444444444444443</v>
      </c>
      <c r="H14" s="26"/>
      <c r="I14" s="29" t="s">
        <v>277</v>
      </c>
      <c r="J14" s="24">
        <v>4</v>
      </c>
      <c r="K14" s="24"/>
      <c r="L14" s="23" t="s">
        <v>256</v>
      </c>
      <c r="M14" s="24">
        <v>1</v>
      </c>
    </row>
    <row r="15" spans="1:19" x14ac:dyDescent="0.35">
      <c r="A15" s="23" t="s">
        <v>47</v>
      </c>
      <c r="B15" s="25">
        <v>5.4117647058823533</v>
      </c>
      <c r="D15" s="23" t="s">
        <v>44</v>
      </c>
      <c r="E15" s="27">
        <v>10</v>
      </c>
      <c r="F15" s="25">
        <v>7.7</v>
      </c>
      <c r="G15" s="26">
        <v>24.5</v>
      </c>
      <c r="H15" s="26"/>
      <c r="I15" s="29" t="s">
        <v>278</v>
      </c>
      <c r="J15" s="24">
        <v>2</v>
      </c>
      <c r="K15" s="24"/>
      <c r="L15" s="23" t="s">
        <v>27</v>
      </c>
      <c r="M15" s="24">
        <v>1</v>
      </c>
    </row>
    <row r="16" spans="1:19" x14ac:dyDescent="0.35">
      <c r="A16" s="23" t="s">
        <v>20</v>
      </c>
      <c r="B16" s="25">
        <v>4.8181818181818183</v>
      </c>
      <c r="D16" s="23" t="s">
        <v>37</v>
      </c>
      <c r="E16" s="27">
        <v>15</v>
      </c>
      <c r="F16" s="25">
        <v>3.0666666666666669</v>
      </c>
      <c r="G16" s="26">
        <v>29.133333333333333</v>
      </c>
      <c r="H16" s="26"/>
      <c r="I16" s="29" t="s">
        <v>279</v>
      </c>
      <c r="J16" s="24">
        <v>2</v>
      </c>
      <c r="K16" s="24"/>
      <c r="L16" s="23" t="s">
        <v>198</v>
      </c>
      <c r="M16" s="24">
        <v>5</v>
      </c>
    </row>
    <row r="17" spans="1:17" x14ac:dyDescent="0.35">
      <c r="A17" s="23" t="s">
        <v>265</v>
      </c>
      <c r="B17" s="25">
        <v>5.3285714285714283</v>
      </c>
      <c r="D17" s="23" t="s">
        <v>54</v>
      </c>
      <c r="E17" s="27">
        <v>7</v>
      </c>
      <c r="F17" s="25">
        <v>9.4285714285714288</v>
      </c>
      <c r="G17" s="26">
        <v>24.142857142857142</v>
      </c>
      <c r="H17" s="26"/>
      <c r="I17" s="29" t="s">
        <v>280</v>
      </c>
      <c r="J17" s="24">
        <v>2</v>
      </c>
      <c r="K17" s="24"/>
      <c r="L17" s="23" t="s">
        <v>202</v>
      </c>
      <c r="M17" s="24">
        <v>2</v>
      </c>
    </row>
    <row r="18" spans="1:17" x14ac:dyDescent="0.35">
      <c r="D18" s="23" t="s">
        <v>265</v>
      </c>
      <c r="E18" s="27">
        <v>70</v>
      </c>
      <c r="F18" s="25">
        <v>5.3285714285714283</v>
      </c>
      <c r="G18" s="26">
        <v>26.257142857142856</v>
      </c>
      <c r="H18" s="26"/>
      <c r="I18" s="29" t="s">
        <v>281</v>
      </c>
      <c r="J18" s="24">
        <v>2</v>
      </c>
      <c r="L18" s="23" t="s">
        <v>87</v>
      </c>
      <c r="M18" s="24">
        <v>1</v>
      </c>
    </row>
    <row r="19" spans="1:17" x14ac:dyDescent="0.35">
      <c r="D19" s="23"/>
      <c r="E19" s="27"/>
      <c r="F19" s="25"/>
      <c r="G19" s="26"/>
      <c r="H19" s="26"/>
      <c r="I19" s="29" t="s">
        <v>282</v>
      </c>
      <c r="J19" s="24">
        <v>2</v>
      </c>
      <c r="L19" s="23" t="s">
        <v>137</v>
      </c>
      <c r="M19" s="24">
        <v>1</v>
      </c>
    </row>
    <row r="20" spans="1:17" x14ac:dyDescent="0.35">
      <c r="A20" s="22" t="s">
        <v>13</v>
      </c>
      <c r="B20" t="s">
        <v>268</v>
      </c>
      <c r="D20" s="22" t="s">
        <v>263</v>
      </c>
      <c r="E20" t="s">
        <v>268</v>
      </c>
      <c r="G20" s="30"/>
      <c r="H20" s="30"/>
      <c r="I20" s="29" t="s">
        <v>283</v>
      </c>
      <c r="J20" s="24">
        <v>2</v>
      </c>
      <c r="L20" s="23" t="s">
        <v>215</v>
      </c>
      <c r="M20" s="24">
        <v>1</v>
      </c>
      <c r="N20" s="22"/>
      <c r="O20" s="22"/>
      <c r="P20" s="22"/>
    </row>
    <row r="21" spans="1:17" x14ac:dyDescent="0.35">
      <c r="A21" s="23" t="s">
        <v>29</v>
      </c>
      <c r="B21" s="25">
        <v>6</v>
      </c>
      <c r="C21" s="25"/>
      <c r="D21" s="23" t="s">
        <v>72</v>
      </c>
      <c r="E21" s="25">
        <v>4.5882352941176467</v>
      </c>
      <c r="G21" s="30"/>
      <c r="H21" s="30"/>
      <c r="I21" s="29" t="s">
        <v>284</v>
      </c>
      <c r="J21" s="24">
        <v>2</v>
      </c>
      <c r="L21" s="23" t="s">
        <v>94</v>
      </c>
      <c r="M21" s="24">
        <v>1</v>
      </c>
      <c r="N21" s="22"/>
      <c r="O21" s="22"/>
      <c r="Q21" s="22"/>
    </row>
    <row r="22" spans="1:17" x14ac:dyDescent="0.35">
      <c r="A22" s="23" t="s">
        <v>51</v>
      </c>
      <c r="B22" s="25">
        <v>5.1481481481481479</v>
      </c>
      <c r="C22" s="25"/>
      <c r="D22" s="23" t="s">
        <v>21</v>
      </c>
      <c r="E22" s="25">
        <v>5.5660377358490569</v>
      </c>
      <c r="G22" s="26"/>
      <c r="H22" s="26"/>
      <c r="I22" s="29" t="s">
        <v>285</v>
      </c>
      <c r="J22" s="24">
        <v>2</v>
      </c>
      <c r="L22" s="23" t="s">
        <v>123</v>
      </c>
      <c r="M22" s="24">
        <v>4</v>
      </c>
    </row>
    <row r="23" spans="1:17" x14ac:dyDescent="0.35">
      <c r="A23" s="23" t="s">
        <v>22</v>
      </c>
      <c r="B23" s="25">
        <v>4.7142857142857144</v>
      </c>
      <c r="C23" s="25"/>
      <c r="D23" s="23" t="s">
        <v>265</v>
      </c>
      <c r="E23" s="25">
        <v>5.3285714285714283</v>
      </c>
      <c r="I23" s="29" t="s">
        <v>286</v>
      </c>
      <c r="J23" s="24">
        <v>2</v>
      </c>
      <c r="L23" s="23" t="s">
        <v>206</v>
      </c>
      <c r="M23" s="24">
        <v>1</v>
      </c>
    </row>
    <row r="24" spans="1:17" x14ac:dyDescent="0.35">
      <c r="A24" s="23" t="s">
        <v>34</v>
      </c>
      <c r="B24" s="25">
        <v>3.5</v>
      </c>
      <c r="C24" s="25"/>
      <c r="F24" s="28"/>
      <c r="G24" s="28"/>
      <c r="H24" s="28"/>
      <c r="I24" s="29" t="s">
        <v>287</v>
      </c>
      <c r="J24" s="24">
        <v>2</v>
      </c>
      <c r="L24" s="23" t="s">
        <v>186</v>
      </c>
      <c r="M24" s="24">
        <v>2</v>
      </c>
    </row>
    <row r="25" spans="1:17" x14ac:dyDescent="0.35">
      <c r="A25" s="23" t="s">
        <v>265</v>
      </c>
      <c r="B25" s="25">
        <v>5.3285714285714283</v>
      </c>
      <c r="C25" s="25"/>
      <c r="I25" s="29" t="s">
        <v>288</v>
      </c>
      <c r="J25" s="24">
        <v>2</v>
      </c>
      <c r="L25" s="23" t="s">
        <v>102</v>
      </c>
      <c r="M25" s="24">
        <v>3</v>
      </c>
    </row>
    <row r="26" spans="1:17" x14ac:dyDescent="0.35">
      <c r="I26" s="29" t="s">
        <v>289</v>
      </c>
      <c r="J26" s="24">
        <v>2</v>
      </c>
      <c r="L26" s="23" t="s">
        <v>253</v>
      </c>
      <c r="M26" s="24">
        <v>1</v>
      </c>
    </row>
    <row r="27" spans="1:17" x14ac:dyDescent="0.35">
      <c r="F27" s="22"/>
      <c r="G27" s="22"/>
      <c r="H27" s="22"/>
      <c r="I27" s="29" t="s">
        <v>290</v>
      </c>
      <c r="J27" s="24">
        <v>2</v>
      </c>
      <c r="L27" s="23" t="s">
        <v>79</v>
      </c>
      <c r="M27" s="24">
        <v>4</v>
      </c>
      <c r="N27" s="22"/>
      <c r="O27" s="22"/>
    </row>
    <row r="28" spans="1:17" x14ac:dyDescent="0.35">
      <c r="F28" s="22"/>
      <c r="G28" s="22"/>
      <c r="H28" s="22"/>
      <c r="I28" s="29" t="s">
        <v>291</v>
      </c>
      <c r="J28" s="24">
        <v>2</v>
      </c>
      <c r="L28" s="23" t="s">
        <v>170</v>
      </c>
      <c r="M28" s="24">
        <v>1</v>
      </c>
      <c r="N28" s="22"/>
      <c r="O28" s="22"/>
      <c r="P28" s="22"/>
    </row>
    <row r="29" spans="1:17" x14ac:dyDescent="0.35">
      <c r="I29" s="29" t="s">
        <v>292</v>
      </c>
      <c r="J29" s="24">
        <v>2</v>
      </c>
      <c r="L29" s="23" t="s">
        <v>50</v>
      </c>
      <c r="M29" s="24">
        <v>1</v>
      </c>
      <c r="Q29" s="22"/>
    </row>
    <row r="30" spans="1:17" x14ac:dyDescent="0.35">
      <c r="I30" s="29" t="s">
        <v>293</v>
      </c>
      <c r="J30" s="24">
        <v>4</v>
      </c>
      <c r="L30" s="23" t="s">
        <v>64</v>
      </c>
      <c r="M30" s="24">
        <v>1</v>
      </c>
    </row>
    <row r="31" spans="1:17" x14ac:dyDescent="0.35">
      <c r="I31" s="29" t="s">
        <v>294</v>
      </c>
      <c r="J31" s="24">
        <v>2</v>
      </c>
      <c r="L31" s="23" t="s">
        <v>33</v>
      </c>
      <c r="M31" s="24">
        <v>9</v>
      </c>
    </row>
    <row r="32" spans="1:17" x14ac:dyDescent="0.35">
      <c r="I32" s="29" t="s">
        <v>295</v>
      </c>
      <c r="J32" s="24">
        <v>2</v>
      </c>
      <c r="L32" s="23" t="s">
        <v>158</v>
      </c>
      <c r="M32" s="24">
        <v>2</v>
      </c>
    </row>
    <row r="33" spans="9:13" x14ac:dyDescent="0.35">
      <c r="I33" s="29" t="s">
        <v>296</v>
      </c>
      <c r="J33" s="24">
        <v>2</v>
      </c>
      <c r="L33" s="23" t="s">
        <v>174</v>
      </c>
      <c r="M33" s="24">
        <v>1</v>
      </c>
    </row>
    <row r="34" spans="9:13" x14ac:dyDescent="0.35">
      <c r="I34" s="29" t="s">
        <v>297</v>
      </c>
      <c r="J34" s="24">
        <v>2</v>
      </c>
      <c r="L34" s="23" t="s">
        <v>19</v>
      </c>
      <c r="M34" s="24">
        <v>2</v>
      </c>
    </row>
    <row r="35" spans="9:13" x14ac:dyDescent="0.35">
      <c r="I35" s="29" t="s">
        <v>298</v>
      </c>
      <c r="J35" s="24">
        <v>5</v>
      </c>
      <c r="L35" s="23" t="s">
        <v>106</v>
      </c>
      <c r="M35" s="24">
        <v>1</v>
      </c>
    </row>
    <row r="36" spans="9:13" x14ac:dyDescent="0.35">
      <c r="I36" s="29" t="s">
        <v>299</v>
      </c>
      <c r="J36" s="24">
        <v>2</v>
      </c>
      <c r="L36" s="23" t="s">
        <v>265</v>
      </c>
      <c r="M36" s="24">
        <v>70</v>
      </c>
    </row>
    <row r="37" spans="9:13" x14ac:dyDescent="0.35">
      <c r="I37" s="29" t="s">
        <v>300</v>
      </c>
      <c r="J37" s="24">
        <v>2</v>
      </c>
    </row>
    <row r="38" spans="9:13" x14ac:dyDescent="0.35">
      <c r="I38" s="29" t="s">
        <v>265</v>
      </c>
      <c r="J38" s="24">
        <v>70</v>
      </c>
    </row>
  </sheetData>
  <mergeCells count="1">
    <mergeCell ref="A1:N4"/>
  </mergeCells>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5CF7-9C3A-47CE-8D78-D95EF10B0AD3}">
  <dimension ref="A1:AR38"/>
  <sheetViews>
    <sheetView showGridLines="0" zoomScale="80" zoomScaleNormal="80" workbookViewId="0">
      <selection activeCell="BE21" sqref="BE21"/>
    </sheetView>
  </sheetViews>
  <sheetFormatPr defaultRowHeight="14.5" x14ac:dyDescent="0.35"/>
  <cols>
    <col min="1" max="1" width="15.7265625" customWidth="1"/>
    <col min="2" max="2" width="14.81640625" customWidth="1"/>
    <col min="11" max="11" width="15.7265625" customWidth="1"/>
    <col min="12" max="12" width="6.1796875" customWidth="1"/>
    <col min="13" max="14" width="14.6328125" customWidth="1"/>
    <col min="22" max="22" width="7.6328125" customWidth="1"/>
    <col min="23" max="23" width="21.90625" customWidth="1"/>
    <col min="24" max="24" width="6.1796875" customWidth="1"/>
    <col min="35" max="35" width="19.453125" customWidth="1"/>
    <col min="36" max="36" width="6.1796875" customWidth="1"/>
  </cols>
  <sheetData>
    <row r="1" spans="1:44" x14ac:dyDescent="0.35">
      <c r="A1" s="113" t="s">
        <v>307</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row>
    <row r="2" spans="1:44" x14ac:dyDescent="0.35">
      <c r="A2" s="113"/>
      <c r="B2" s="113"/>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row>
    <row r="3" spans="1:44" x14ac:dyDescent="0.35">
      <c r="A3" s="113"/>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c r="AR3" s="113"/>
    </row>
    <row r="5" spans="1:44" x14ac:dyDescent="0.35">
      <c r="A5" s="22" t="s">
        <v>4</v>
      </c>
      <c r="B5" t="s">
        <v>266</v>
      </c>
      <c r="K5" s="22" t="s">
        <v>7</v>
      </c>
      <c r="L5" t="s">
        <v>266</v>
      </c>
      <c r="M5" t="s">
        <v>269</v>
      </c>
      <c r="N5" s="22"/>
      <c r="W5" s="22" t="s">
        <v>301</v>
      </c>
      <c r="X5" t="s">
        <v>266</v>
      </c>
      <c r="AI5" s="22" t="s">
        <v>9</v>
      </c>
      <c r="AJ5" t="s">
        <v>266</v>
      </c>
    </row>
    <row r="6" spans="1:44" x14ac:dyDescent="0.35">
      <c r="A6" s="23" t="s">
        <v>25</v>
      </c>
      <c r="B6" s="24">
        <v>44</v>
      </c>
      <c r="K6" s="23" t="s">
        <v>118</v>
      </c>
      <c r="L6" s="27">
        <v>8</v>
      </c>
      <c r="M6" s="26">
        <v>31.625</v>
      </c>
      <c r="N6" s="26"/>
      <c r="W6" s="29" t="s">
        <v>270</v>
      </c>
      <c r="X6" s="24">
        <v>2</v>
      </c>
      <c r="AI6" s="23" t="s">
        <v>71</v>
      </c>
      <c r="AJ6" s="24">
        <v>9</v>
      </c>
    </row>
    <row r="7" spans="1:44" x14ac:dyDescent="0.35">
      <c r="A7" s="23" t="s">
        <v>16</v>
      </c>
      <c r="B7" s="24">
        <v>9</v>
      </c>
      <c r="K7" s="23" t="s">
        <v>17</v>
      </c>
      <c r="L7" s="27">
        <v>50</v>
      </c>
      <c r="M7" s="26">
        <v>26.98</v>
      </c>
      <c r="N7" s="26"/>
      <c r="W7" s="29" t="s">
        <v>271</v>
      </c>
      <c r="X7" s="24">
        <v>3</v>
      </c>
      <c r="AI7" s="23" t="s">
        <v>33</v>
      </c>
      <c r="AJ7" s="24">
        <v>9</v>
      </c>
    </row>
    <row r="8" spans="1:44" x14ac:dyDescent="0.35">
      <c r="A8" s="23" t="s">
        <v>44</v>
      </c>
      <c r="B8" s="24">
        <v>17</v>
      </c>
      <c r="K8" s="23" t="s">
        <v>55</v>
      </c>
      <c r="L8" s="27">
        <v>12</v>
      </c>
      <c r="M8" s="26">
        <v>19.666666666666668</v>
      </c>
      <c r="N8" s="26"/>
      <c r="W8" s="29" t="s">
        <v>272</v>
      </c>
      <c r="X8" s="24">
        <v>2</v>
      </c>
      <c r="AI8" s="23" t="s">
        <v>39</v>
      </c>
      <c r="AJ8" s="24">
        <v>7</v>
      </c>
    </row>
    <row r="9" spans="1:44" x14ac:dyDescent="0.35">
      <c r="A9" s="23" t="s">
        <v>265</v>
      </c>
      <c r="B9" s="24">
        <v>70</v>
      </c>
      <c r="K9" s="23" t="s">
        <v>265</v>
      </c>
      <c r="L9" s="27">
        <v>70</v>
      </c>
      <c r="M9" s="26">
        <v>26.257142857142856</v>
      </c>
      <c r="N9" s="26"/>
      <c r="W9" s="29" t="s">
        <v>273</v>
      </c>
      <c r="X9" s="24">
        <v>2</v>
      </c>
      <c r="AI9" s="23" t="s">
        <v>198</v>
      </c>
      <c r="AJ9" s="24">
        <v>5</v>
      </c>
    </row>
    <row r="10" spans="1:44" x14ac:dyDescent="0.35">
      <c r="W10" s="29" t="s">
        <v>274</v>
      </c>
      <c r="X10" s="24">
        <v>2</v>
      </c>
      <c r="AI10" s="23" t="s">
        <v>79</v>
      </c>
      <c r="AJ10" s="24">
        <v>4</v>
      </c>
    </row>
    <row r="11" spans="1:44" x14ac:dyDescent="0.35">
      <c r="W11" s="29" t="s">
        <v>275</v>
      </c>
      <c r="X11" s="24">
        <v>2</v>
      </c>
      <c r="AI11" s="23" t="s">
        <v>123</v>
      </c>
      <c r="AJ11" s="24">
        <v>4</v>
      </c>
    </row>
    <row r="12" spans="1:44" x14ac:dyDescent="0.35">
      <c r="W12" s="29" t="s">
        <v>276</v>
      </c>
      <c r="X12" s="24">
        <v>2</v>
      </c>
      <c r="AI12" s="23" t="s">
        <v>102</v>
      </c>
      <c r="AJ12" s="24">
        <v>3</v>
      </c>
    </row>
    <row r="13" spans="1:44" x14ac:dyDescent="0.35">
      <c r="W13" s="29" t="s">
        <v>277</v>
      </c>
      <c r="X13" s="24">
        <v>4</v>
      </c>
      <c r="AI13" s="23" t="s">
        <v>186</v>
      </c>
      <c r="AJ13" s="24">
        <v>2</v>
      </c>
    </row>
    <row r="14" spans="1:44" x14ac:dyDescent="0.35">
      <c r="W14" s="29" t="s">
        <v>278</v>
      </c>
      <c r="X14" s="24">
        <v>2</v>
      </c>
      <c r="AI14" s="23" t="s">
        <v>46</v>
      </c>
      <c r="AJ14" s="24">
        <v>2</v>
      </c>
    </row>
    <row r="15" spans="1:44" x14ac:dyDescent="0.35">
      <c r="W15" s="29" t="s">
        <v>279</v>
      </c>
      <c r="X15" s="24">
        <v>2</v>
      </c>
      <c r="AI15" s="23" t="s">
        <v>98</v>
      </c>
      <c r="AJ15" s="24">
        <v>2</v>
      </c>
    </row>
    <row r="16" spans="1:44" x14ac:dyDescent="0.35">
      <c r="W16" s="29" t="s">
        <v>280</v>
      </c>
      <c r="X16" s="24">
        <v>2</v>
      </c>
      <c r="AI16" s="23" t="s">
        <v>19</v>
      </c>
      <c r="AJ16" s="24">
        <v>2</v>
      </c>
    </row>
    <row r="17" spans="1:36" x14ac:dyDescent="0.35">
      <c r="W17" s="29" t="s">
        <v>281</v>
      </c>
      <c r="X17" s="24">
        <v>2</v>
      </c>
      <c r="AI17" s="23" t="s">
        <v>202</v>
      </c>
      <c r="AJ17" s="24">
        <v>2</v>
      </c>
    </row>
    <row r="18" spans="1:36" x14ac:dyDescent="0.35">
      <c r="W18" s="29" t="s">
        <v>282</v>
      </c>
      <c r="X18" s="24">
        <v>2</v>
      </c>
      <c r="AI18" s="23" t="s">
        <v>60</v>
      </c>
      <c r="AJ18" s="24">
        <v>2</v>
      </c>
    </row>
    <row r="19" spans="1:36" x14ac:dyDescent="0.35">
      <c r="A19" s="22" t="s">
        <v>10</v>
      </c>
      <c r="B19" t="s">
        <v>267</v>
      </c>
      <c r="K19" s="22" t="s">
        <v>263</v>
      </c>
      <c r="L19" t="s">
        <v>266</v>
      </c>
      <c r="M19" t="s">
        <v>268</v>
      </c>
      <c r="N19" s="22"/>
      <c r="W19" s="29" t="s">
        <v>283</v>
      </c>
      <c r="X19" s="24">
        <v>2</v>
      </c>
      <c r="AI19" s="23" t="s">
        <v>158</v>
      </c>
      <c r="AJ19" s="24">
        <v>2</v>
      </c>
    </row>
    <row r="20" spans="1:36" x14ac:dyDescent="0.35">
      <c r="A20" s="23" t="s">
        <v>28</v>
      </c>
      <c r="B20" s="25">
        <v>5.6956521739130439</v>
      </c>
      <c r="K20" s="23" t="s">
        <v>72</v>
      </c>
      <c r="L20" s="27">
        <v>17</v>
      </c>
      <c r="M20" s="25">
        <v>4.5882352941176467</v>
      </c>
      <c r="N20" s="25"/>
      <c r="W20" s="29" t="s">
        <v>284</v>
      </c>
      <c r="X20" s="24">
        <v>2</v>
      </c>
      <c r="AI20" s="23" t="s">
        <v>170</v>
      </c>
      <c r="AJ20" s="24">
        <v>1</v>
      </c>
    </row>
    <row r="21" spans="1:36" x14ac:dyDescent="0.35">
      <c r="A21" s="23" t="s">
        <v>20</v>
      </c>
      <c r="B21" s="25">
        <v>4.8181818181818183</v>
      </c>
      <c r="K21" s="23" t="s">
        <v>21</v>
      </c>
      <c r="L21" s="27">
        <v>53</v>
      </c>
      <c r="M21" s="25">
        <v>5.5660377358490569</v>
      </c>
      <c r="N21" s="25"/>
      <c r="W21" s="29" t="s">
        <v>285</v>
      </c>
      <c r="X21" s="24">
        <v>2</v>
      </c>
      <c r="AI21" s="23" t="s">
        <v>253</v>
      </c>
      <c r="AJ21" s="24">
        <v>1</v>
      </c>
    </row>
    <row r="22" spans="1:36" x14ac:dyDescent="0.35">
      <c r="A22" s="23" t="s">
        <v>40</v>
      </c>
      <c r="B22" s="25">
        <v>5.5</v>
      </c>
      <c r="K22" s="23" t="s">
        <v>265</v>
      </c>
      <c r="L22" s="27">
        <v>70</v>
      </c>
      <c r="M22" s="25">
        <v>5.3285714285714283</v>
      </c>
      <c r="N22" s="25"/>
      <c r="W22" s="29" t="s">
        <v>286</v>
      </c>
      <c r="X22" s="24">
        <v>2</v>
      </c>
      <c r="AI22" s="23" t="s">
        <v>83</v>
      </c>
      <c r="AJ22" s="24">
        <v>1</v>
      </c>
    </row>
    <row r="23" spans="1:36" x14ac:dyDescent="0.35">
      <c r="A23" s="23" t="s">
        <v>47</v>
      </c>
      <c r="B23" s="25">
        <v>5.4117647058823533</v>
      </c>
      <c r="W23" s="29" t="s">
        <v>287</v>
      </c>
      <c r="X23" s="24">
        <v>2</v>
      </c>
      <c r="AI23" s="23" t="s">
        <v>127</v>
      </c>
      <c r="AJ23" s="24">
        <v>1</v>
      </c>
    </row>
    <row r="24" spans="1:36" x14ac:dyDescent="0.35">
      <c r="A24" s="23" t="s">
        <v>265</v>
      </c>
      <c r="B24" s="25">
        <v>5.3285714285714283</v>
      </c>
      <c r="W24" s="29" t="s">
        <v>288</v>
      </c>
      <c r="X24" s="24">
        <v>2</v>
      </c>
      <c r="AI24" s="23" t="s">
        <v>27</v>
      </c>
      <c r="AJ24" s="24">
        <v>1</v>
      </c>
    </row>
    <row r="25" spans="1:36" x14ac:dyDescent="0.35">
      <c r="W25" s="29" t="s">
        <v>289</v>
      </c>
      <c r="X25" s="24">
        <v>2</v>
      </c>
      <c r="AI25" s="23" t="s">
        <v>206</v>
      </c>
      <c r="AJ25" s="24">
        <v>1</v>
      </c>
    </row>
    <row r="26" spans="1:36" x14ac:dyDescent="0.35">
      <c r="W26" s="29" t="s">
        <v>290</v>
      </c>
      <c r="X26" s="24">
        <v>2</v>
      </c>
      <c r="AI26" s="23" t="s">
        <v>50</v>
      </c>
      <c r="AJ26" s="24">
        <v>1</v>
      </c>
    </row>
    <row r="27" spans="1:36" x14ac:dyDescent="0.35">
      <c r="W27" s="29" t="s">
        <v>291</v>
      </c>
      <c r="X27" s="24">
        <v>2</v>
      </c>
      <c r="AI27" s="23" t="s">
        <v>64</v>
      </c>
      <c r="AJ27" s="24">
        <v>1</v>
      </c>
    </row>
    <row r="28" spans="1:36" x14ac:dyDescent="0.35">
      <c r="W28" s="29" t="s">
        <v>292</v>
      </c>
      <c r="X28" s="24">
        <v>2</v>
      </c>
      <c r="AI28" s="23" t="s">
        <v>256</v>
      </c>
      <c r="AJ28" s="24">
        <v>1</v>
      </c>
    </row>
    <row r="29" spans="1:36" x14ac:dyDescent="0.35">
      <c r="W29" s="29" t="s">
        <v>293</v>
      </c>
      <c r="X29" s="24">
        <v>4</v>
      </c>
      <c r="AI29" s="23" t="s">
        <v>87</v>
      </c>
      <c r="AJ29" s="24">
        <v>1</v>
      </c>
    </row>
    <row r="30" spans="1:36" x14ac:dyDescent="0.35">
      <c r="W30" s="29" t="s">
        <v>294</v>
      </c>
      <c r="X30" s="24">
        <v>2</v>
      </c>
      <c r="AI30" s="23" t="s">
        <v>174</v>
      </c>
      <c r="AJ30" s="24">
        <v>1</v>
      </c>
    </row>
    <row r="31" spans="1:36" x14ac:dyDescent="0.35">
      <c r="W31" s="29" t="s">
        <v>295</v>
      </c>
      <c r="X31" s="24">
        <v>2</v>
      </c>
      <c r="AI31" s="23" t="s">
        <v>137</v>
      </c>
      <c r="AJ31" s="24">
        <v>1</v>
      </c>
    </row>
    <row r="32" spans="1:36" x14ac:dyDescent="0.35">
      <c r="A32" s="22" t="s">
        <v>13</v>
      </c>
      <c r="B32" t="s">
        <v>268</v>
      </c>
      <c r="K32" s="22" t="s">
        <v>4</v>
      </c>
      <c r="L32" t="s">
        <v>266</v>
      </c>
      <c r="M32" t="s">
        <v>268</v>
      </c>
      <c r="N32" t="s">
        <v>269</v>
      </c>
      <c r="O32" s="22"/>
      <c r="P32" s="22"/>
      <c r="Q32" s="22"/>
      <c r="R32" s="22"/>
      <c r="S32" s="22"/>
      <c r="T32" s="22"/>
      <c r="U32" s="22"/>
      <c r="V32" s="22"/>
      <c r="W32" s="29" t="s">
        <v>296</v>
      </c>
      <c r="X32" s="24">
        <v>2</v>
      </c>
      <c r="AI32" s="23" t="s">
        <v>106</v>
      </c>
      <c r="AJ32" s="24">
        <v>1</v>
      </c>
    </row>
    <row r="33" spans="1:36" x14ac:dyDescent="0.35">
      <c r="A33" s="23" t="s">
        <v>29</v>
      </c>
      <c r="B33" s="25">
        <v>6</v>
      </c>
      <c r="K33" s="23" t="s">
        <v>25</v>
      </c>
      <c r="L33" s="27">
        <v>29</v>
      </c>
      <c r="M33" s="25">
        <v>4.1724137931034484</v>
      </c>
      <c r="N33" s="26">
        <v>27.689655172413794</v>
      </c>
      <c r="W33" s="29" t="s">
        <v>297</v>
      </c>
      <c r="X33" s="24">
        <v>2</v>
      </c>
      <c r="AI33" s="23" t="s">
        <v>215</v>
      </c>
      <c r="AJ33" s="24">
        <v>1</v>
      </c>
    </row>
    <row r="34" spans="1:36" x14ac:dyDescent="0.35">
      <c r="A34" s="23" t="s">
        <v>51</v>
      </c>
      <c r="B34" s="25">
        <v>5.1481481481481479</v>
      </c>
      <c r="K34" s="23" t="s">
        <v>16</v>
      </c>
      <c r="L34" s="27">
        <v>9</v>
      </c>
      <c r="M34" s="25">
        <v>7</v>
      </c>
      <c r="N34" s="26">
        <v>20.444444444444443</v>
      </c>
      <c r="W34" s="29" t="s">
        <v>298</v>
      </c>
      <c r="X34" s="24">
        <v>5</v>
      </c>
      <c r="AI34" s="23" t="s">
        <v>94</v>
      </c>
      <c r="AJ34" s="24">
        <v>1</v>
      </c>
    </row>
    <row r="35" spans="1:36" x14ac:dyDescent="0.35">
      <c r="A35" s="23" t="s">
        <v>22</v>
      </c>
      <c r="B35" s="25">
        <v>4.7142857142857144</v>
      </c>
      <c r="K35" s="23" t="s">
        <v>44</v>
      </c>
      <c r="L35" s="27">
        <v>10</v>
      </c>
      <c r="M35" s="25">
        <v>7.7</v>
      </c>
      <c r="N35" s="26">
        <v>24.5</v>
      </c>
      <c r="W35" s="29" t="s">
        <v>299</v>
      </c>
      <c r="X35" s="24">
        <v>2</v>
      </c>
      <c r="AI35" s="23" t="s">
        <v>265</v>
      </c>
      <c r="AJ35" s="24">
        <v>70</v>
      </c>
    </row>
    <row r="36" spans="1:36" x14ac:dyDescent="0.35">
      <c r="A36" s="23" t="s">
        <v>34</v>
      </c>
      <c r="B36" s="25">
        <v>3.5</v>
      </c>
      <c r="K36" s="23" t="s">
        <v>37</v>
      </c>
      <c r="L36" s="27">
        <v>15</v>
      </c>
      <c r="M36" s="25">
        <v>3.0666666666666669</v>
      </c>
      <c r="N36" s="26">
        <v>29.133333333333333</v>
      </c>
      <c r="W36" s="29" t="s">
        <v>300</v>
      </c>
      <c r="X36" s="24">
        <v>2</v>
      </c>
    </row>
    <row r="37" spans="1:36" x14ac:dyDescent="0.35">
      <c r="A37" s="23" t="s">
        <v>265</v>
      </c>
      <c r="B37" s="25">
        <v>5.3285714285714283</v>
      </c>
      <c r="K37" s="23" t="s">
        <v>54</v>
      </c>
      <c r="L37" s="27">
        <v>7</v>
      </c>
      <c r="M37" s="25">
        <v>9.4285714285714288</v>
      </c>
      <c r="N37" s="26">
        <v>24.142857142857142</v>
      </c>
      <c r="W37" s="29" t="s">
        <v>265</v>
      </c>
      <c r="X37" s="24">
        <v>70</v>
      </c>
    </row>
    <row r="38" spans="1:36" x14ac:dyDescent="0.35">
      <c r="K38" s="23" t="s">
        <v>265</v>
      </c>
      <c r="L38" s="27">
        <v>70</v>
      </c>
      <c r="M38" s="25">
        <v>5.3285714285714283</v>
      </c>
      <c r="N38" s="26">
        <v>26.257142857142856</v>
      </c>
    </row>
  </sheetData>
  <mergeCells count="1">
    <mergeCell ref="A1:AR3"/>
  </mergeCells>
  <pageMargins left="0.7" right="0.7" top="0.75" bottom="0.75" header="0.3" footer="0.3"/>
  <pageSetup orientation="portrait" r:id="rId9"/>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39277-E4C9-4ED4-8334-FC0E812B2A7D}">
  <dimension ref="A1:Z67"/>
  <sheetViews>
    <sheetView topLeftCell="A31" zoomScale="52" zoomScaleNormal="33" zoomScaleSheetLayoutView="68" workbookViewId="0">
      <selection activeCell="AQ47" sqref="AQ47"/>
    </sheetView>
  </sheetViews>
  <sheetFormatPr defaultRowHeight="14.5" x14ac:dyDescent="0.35"/>
  <cols>
    <col min="1" max="1" width="8.7265625" customWidth="1"/>
    <col min="2" max="2" width="18.1796875" customWidth="1"/>
    <col min="3" max="3" width="16.26953125" customWidth="1"/>
    <col min="4" max="4" width="10.7265625" customWidth="1"/>
    <col min="5" max="5" width="9.26953125" customWidth="1"/>
    <col min="8" max="8" width="15.81640625" customWidth="1"/>
    <col min="9" max="9" width="12.90625" customWidth="1"/>
    <col min="12" max="12" width="14.6328125" customWidth="1"/>
    <col min="13" max="13" width="12.36328125" customWidth="1"/>
    <col min="23" max="23" width="10" customWidth="1"/>
    <col min="24" max="24" width="8" customWidth="1"/>
    <col min="25" max="25" width="7.453125" customWidth="1"/>
    <col min="26" max="26" width="16.90625" customWidth="1"/>
  </cols>
  <sheetData>
    <row r="1" spans="1:26" ht="14.5" customHeight="1" x14ac:dyDescent="0.35">
      <c r="A1" s="53" t="s">
        <v>305</v>
      </c>
      <c r="B1" s="53"/>
      <c r="C1" s="53"/>
      <c r="D1" s="53"/>
      <c r="E1" s="53"/>
      <c r="F1" s="53"/>
      <c r="G1" s="53"/>
      <c r="H1" s="53"/>
      <c r="I1" s="53"/>
      <c r="J1" s="53"/>
      <c r="K1" s="53"/>
      <c r="L1" s="53"/>
      <c r="M1" s="53"/>
      <c r="N1" s="53"/>
      <c r="O1" s="53"/>
      <c r="P1" s="53"/>
      <c r="Q1" s="53"/>
      <c r="R1" s="53"/>
      <c r="S1" s="53"/>
      <c r="T1" s="53"/>
      <c r="U1" s="53"/>
      <c r="V1" s="53"/>
      <c r="W1" s="53"/>
      <c r="X1" s="53"/>
      <c r="Y1" s="52"/>
    </row>
    <row r="2" spans="1:26" ht="14.5" customHeight="1" x14ac:dyDescent="0.35">
      <c r="A2" s="54"/>
      <c r="B2" s="54"/>
      <c r="C2" s="54"/>
      <c r="D2" s="54"/>
      <c r="E2" s="54"/>
      <c r="F2" s="54"/>
      <c r="G2" s="54"/>
      <c r="H2" s="54"/>
      <c r="I2" s="54"/>
      <c r="J2" s="54"/>
      <c r="K2" s="54"/>
      <c r="L2" s="54"/>
      <c r="M2" s="54"/>
      <c r="N2" s="54"/>
      <c r="O2" s="54"/>
      <c r="P2" s="54"/>
      <c r="Q2" s="54"/>
      <c r="R2" s="54"/>
      <c r="S2" s="54"/>
      <c r="T2" s="54"/>
      <c r="U2" s="54"/>
      <c r="V2" s="54"/>
      <c r="W2" s="54"/>
      <c r="X2" s="54"/>
      <c r="Y2" s="46"/>
    </row>
    <row r="3" spans="1:26" ht="14.5" customHeight="1" x14ac:dyDescent="0.35">
      <c r="A3" s="54"/>
      <c r="B3" s="54"/>
      <c r="C3" s="54"/>
      <c r="D3" s="54"/>
      <c r="E3" s="54"/>
      <c r="F3" s="54"/>
      <c r="G3" s="54"/>
      <c r="H3" s="54"/>
      <c r="I3" s="54"/>
      <c r="J3" s="54"/>
      <c r="K3" s="54"/>
      <c r="L3" s="54"/>
      <c r="M3" s="54"/>
      <c r="N3" s="54"/>
      <c r="O3" s="54"/>
      <c r="P3" s="54"/>
      <c r="Q3" s="54"/>
      <c r="R3" s="54"/>
      <c r="S3" s="54"/>
      <c r="T3" s="54"/>
      <c r="U3" s="54"/>
      <c r="V3" s="54"/>
      <c r="W3" s="54"/>
      <c r="X3" s="54"/>
      <c r="Y3" s="52"/>
    </row>
    <row r="4" spans="1:26" ht="14.5" customHeight="1" x14ac:dyDescent="0.35">
      <c r="A4" s="54"/>
      <c r="B4" s="54"/>
      <c r="C4" s="54"/>
      <c r="D4" s="54"/>
      <c r="E4" s="54"/>
      <c r="F4" s="54"/>
      <c r="G4" s="54"/>
      <c r="H4" s="54"/>
      <c r="I4" s="54"/>
      <c r="J4" s="54"/>
      <c r="K4" s="54"/>
      <c r="L4" s="54"/>
      <c r="M4" s="54"/>
      <c r="N4" s="54"/>
      <c r="O4" s="54"/>
      <c r="P4" s="54"/>
      <c r="Q4" s="54"/>
      <c r="R4" s="54"/>
      <c r="S4" s="54"/>
      <c r="T4" s="54"/>
      <c r="U4" s="54"/>
      <c r="V4" s="54"/>
      <c r="W4" s="54"/>
      <c r="X4" s="54"/>
      <c r="Y4" s="52"/>
    </row>
    <row r="5" spans="1:26" ht="14.5" customHeight="1" x14ac:dyDescent="0.35">
      <c r="A5" s="55"/>
      <c r="B5" s="55"/>
      <c r="C5" s="55"/>
      <c r="D5" s="55"/>
      <c r="E5" s="55"/>
      <c r="F5" s="55"/>
      <c r="G5" s="55"/>
      <c r="H5" s="55"/>
      <c r="I5" s="55"/>
      <c r="J5" s="55"/>
      <c r="K5" s="55"/>
      <c r="L5" s="55"/>
      <c r="M5" s="55"/>
      <c r="N5" s="55"/>
      <c r="O5" s="55"/>
      <c r="P5" s="55"/>
      <c r="Q5" s="55"/>
      <c r="R5" s="55"/>
      <c r="S5" s="55"/>
      <c r="T5" s="55"/>
      <c r="U5" s="55"/>
      <c r="V5" s="55"/>
      <c r="W5" s="55"/>
      <c r="X5" s="55"/>
      <c r="Y5" s="52"/>
    </row>
    <row r="6" spans="1:26" ht="15" customHeight="1" thickBot="1" x14ac:dyDescent="0.4">
      <c r="A6" s="33"/>
      <c r="B6" s="33"/>
      <c r="C6" s="87" t="s">
        <v>302</v>
      </c>
      <c r="D6" s="88"/>
      <c r="E6" s="88"/>
      <c r="F6" s="89"/>
      <c r="G6" s="81" t="s">
        <v>268</v>
      </c>
      <c r="H6" s="82"/>
      <c r="I6" s="83"/>
      <c r="J6" s="75" t="s">
        <v>303</v>
      </c>
      <c r="K6" s="76"/>
      <c r="L6" s="76"/>
      <c r="M6" s="77"/>
      <c r="N6" s="66" t="s">
        <v>304</v>
      </c>
      <c r="O6" s="67"/>
      <c r="P6" s="67"/>
      <c r="Q6" s="67"/>
      <c r="R6" s="68"/>
      <c r="S6" s="56" t="s">
        <v>306</v>
      </c>
      <c r="T6" s="57"/>
      <c r="U6" s="57"/>
      <c r="V6" s="57"/>
      <c r="W6" s="57"/>
      <c r="X6" s="58"/>
      <c r="Y6" s="46"/>
      <c r="Z6" s="22"/>
    </row>
    <row r="7" spans="1:26" ht="15" customHeight="1" x14ac:dyDescent="0.35">
      <c r="A7" s="32"/>
      <c r="B7" s="33"/>
      <c r="C7" s="108"/>
      <c r="D7" s="70"/>
      <c r="E7" s="70"/>
      <c r="F7" s="109"/>
      <c r="G7" s="102"/>
      <c r="H7" s="103"/>
      <c r="I7" s="104"/>
      <c r="J7" s="96"/>
      <c r="K7" s="97"/>
      <c r="L7" s="97"/>
      <c r="M7" s="98"/>
      <c r="N7" s="69"/>
      <c r="O7" s="70"/>
      <c r="P7" s="70"/>
      <c r="Q7" s="70"/>
      <c r="R7" s="71"/>
      <c r="S7" s="59"/>
      <c r="T7" s="60"/>
      <c r="U7" s="60"/>
      <c r="V7" s="60"/>
      <c r="W7" s="60"/>
      <c r="X7" s="61"/>
      <c r="Y7" s="46"/>
    </row>
    <row r="8" spans="1:26" ht="14.5" customHeight="1" thickBot="1" x14ac:dyDescent="0.4">
      <c r="A8" s="32"/>
      <c r="B8" s="32"/>
      <c r="C8" s="110">
        <f>GETPIVOTDATA("Calls",Analysis!D12)</f>
        <v>70</v>
      </c>
      <c r="D8" s="111"/>
      <c r="E8" s="111"/>
      <c r="F8" s="112"/>
      <c r="G8" s="105">
        <f>GETPIVOTDATA("Avg CSAT",Analysis!D12)</f>
        <v>5.3285714285714283</v>
      </c>
      <c r="H8" s="106"/>
      <c r="I8" s="107"/>
      <c r="J8" s="99">
        <f>IFERROR((GETPIVOTDATA("Calls",Analysis!D12,"Sentiment","Negative")+GETPIVOTDATA("Calls",Analysis!D12,"Sentiment","Very Negative"))/GETPIVOTDATA("Calls",Analysis!D12),0)</f>
        <v>0.62857142857142856</v>
      </c>
      <c r="K8" s="100"/>
      <c r="L8" s="100"/>
      <c r="M8" s="101"/>
      <c r="N8" s="93">
        <f>IFERROR(GETPIVOTDATA("Calls", Visualization!K19,"SLA Status","Within SLA")/GETPIVOTDATA("Calls",Visualization!K19),0)</f>
        <v>0.75714285714285712</v>
      </c>
      <c r="O8" s="94"/>
      <c r="P8" s="94"/>
      <c r="Q8" s="94"/>
      <c r="R8" s="95"/>
      <c r="S8" s="62">
        <f>GETPIVOTDATA("Avg Duration",Analysis!D12)</f>
        <v>26.257142857142856</v>
      </c>
      <c r="T8" s="62"/>
      <c r="U8" s="62"/>
      <c r="V8" s="62"/>
      <c r="W8" s="62"/>
      <c r="X8" s="63"/>
      <c r="Y8" s="52"/>
    </row>
    <row r="9" spans="1:26" ht="14.5" customHeight="1" x14ac:dyDescent="0.35">
      <c r="A9" s="32"/>
      <c r="B9" s="32"/>
      <c r="C9" s="90"/>
      <c r="D9" s="91"/>
      <c r="E9" s="91"/>
      <c r="F9" s="92"/>
      <c r="G9" s="84"/>
      <c r="H9" s="85"/>
      <c r="I9" s="86"/>
      <c r="J9" s="78"/>
      <c r="K9" s="79"/>
      <c r="L9" s="79"/>
      <c r="M9" s="80"/>
      <c r="N9" s="72"/>
      <c r="O9" s="73"/>
      <c r="P9" s="73"/>
      <c r="Q9" s="73"/>
      <c r="R9" s="74"/>
      <c r="S9" s="64"/>
      <c r="T9" s="64"/>
      <c r="U9" s="64"/>
      <c r="V9" s="64"/>
      <c r="W9" s="64"/>
      <c r="X9" s="65"/>
      <c r="Y9" s="52"/>
    </row>
    <row r="10" spans="1:26" ht="14.5" customHeight="1" x14ac:dyDescent="0.35">
      <c r="A10" s="32"/>
      <c r="B10" s="32"/>
      <c r="C10" s="34"/>
      <c r="D10" s="34"/>
      <c r="E10" s="34"/>
      <c r="F10" s="34"/>
      <c r="G10" s="35"/>
      <c r="H10" s="35"/>
      <c r="I10" s="35"/>
      <c r="J10" s="36"/>
      <c r="K10" s="36"/>
      <c r="L10" s="36"/>
      <c r="M10" s="36"/>
      <c r="N10" s="37"/>
      <c r="O10" s="37"/>
      <c r="P10" s="37"/>
      <c r="Q10" s="37"/>
      <c r="R10" s="37"/>
      <c r="S10" s="38"/>
      <c r="T10" s="38"/>
      <c r="U10" s="38"/>
      <c r="V10" s="38"/>
      <c r="W10" s="38"/>
      <c r="X10" s="32"/>
    </row>
    <row r="11" spans="1:26" ht="14.5" customHeight="1" x14ac:dyDescent="0.35">
      <c r="A11" s="32"/>
      <c r="B11" s="32"/>
      <c r="C11" s="34"/>
      <c r="D11" s="34"/>
      <c r="E11" s="34"/>
      <c r="F11" s="34"/>
      <c r="G11" s="35"/>
      <c r="H11" s="35"/>
      <c r="I11" s="35"/>
      <c r="J11" s="36"/>
      <c r="K11" s="36"/>
      <c r="L11" s="36"/>
      <c r="M11" s="36"/>
      <c r="N11" s="37"/>
      <c r="O11" s="37"/>
      <c r="P11" s="37"/>
      <c r="Q11" s="37"/>
      <c r="R11" s="37"/>
      <c r="S11" s="38"/>
      <c r="T11" s="38"/>
      <c r="U11" s="38"/>
      <c r="V11" s="38"/>
      <c r="W11" s="38"/>
      <c r="X11" s="32"/>
    </row>
    <row r="12" spans="1:26" ht="15" customHeight="1" x14ac:dyDescent="0.35">
      <c r="A12" s="32"/>
      <c r="B12" s="32"/>
      <c r="C12" s="32"/>
      <c r="D12" s="32"/>
      <c r="E12" s="33"/>
      <c r="F12" s="32"/>
      <c r="G12" s="32"/>
      <c r="H12" s="32"/>
      <c r="I12" s="32"/>
      <c r="J12" s="33"/>
      <c r="K12" s="33"/>
      <c r="L12" s="33"/>
      <c r="M12" s="32"/>
      <c r="N12" s="32"/>
      <c r="O12" s="32"/>
      <c r="P12" s="32"/>
      <c r="Q12" s="32"/>
      <c r="R12" s="32"/>
      <c r="S12" s="32"/>
      <c r="T12" s="32"/>
      <c r="U12" s="32"/>
      <c r="V12" s="32"/>
      <c r="W12" s="32"/>
      <c r="X12" s="32"/>
    </row>
    <row r="13" spans="1:26" ht="15" customHeight="1" x14ac:dyDescent="0.35">
      <c r="A13" s="32"/>
      <c r="B13" s="32"/>
      <c r="C13" s="51"/>
      <c r="D13" s="51"/>
      <c r="E13" s="32"/>
      <c r="F13" s="32"/>
      <c r="G13" s="32"/>
      <c r="H13" s="32"/>
      <c r="I13" s="32"/>
      <c r="J13" s="32"/>
      <c r="K13" s="32"/>
      <c r="L13" s="32"/>
      <c r="M13" s="32"/>
      <c r="N13" s="32"/>
      <c r="O13" s="32"/>
      <c r="P13" s="32"/>
      <c r="Q13" s="32"/>
      <c r="R13" s="32"/>
      <c r="S13" s="32"/>
      <c r="T13" s="32"/>
      <c r="U13" s="32"/>
      <c r="V13" s="32"/>
      <c r="W13" s="32"/>
      <c r="X13" s="32"/>
      <c r="Z13" s="22"/>
    </row>
    <row r="14" spans="1:26" ht="15" customHeight="1" x14ac:dyDescent="0.35">
      <c r="A14" s="32"/>
      <c r="B14" s="32"/>
      <c r="C14" s="32"/>
      <c r="D14" s="32"/>
      <c r="E14" s="32"/>
      <c r="F14" s="32"/>
      <c r="G14" s="32"/>
      <c r="H14" s="32"/>
      <c r="I14" s="32"/>
      <c r="J14" s="32"/>
      <c r="K14" s="32"/>
      <c r="L14" s="32"/>
      <c r="M14" s="32"/>
      <c r="N14" s="32"/>
      <c r="O14" s="32"/>
      <c r="P14" s="32"/>
      <c r="Q14" s="32"/>
      <c r="R14" s="32"/>
      <c r="S14" s="32"/>
      <c r="T14" s="32"/>
      <c r="U14" s="32"/>
      <c r="V14" s="32"/>
      <c r="W14" s="32"/>
      <c r="X14" s="32"/>
    </row>
    <row r="15" spans="1:26" ht="15" customHeight="1" x14ac:dyDescent="0.35">
      <c r="A15" s="32"/>
      <c r="B15" s="32"/>
      <c r="C15" s="32"/>
      <c r="D15" s="32"/>
      <c r="E15" s="32"/>
      <c r="F15" s="32"/>
      <c r="G15" s="32"/>
      <c r="H15" s="32"/>
      <c r="I15" s="32"/>
      <c r="J15" s="32"/>
      <c r="K15" s="32"/>
      <c r="L15" s="32"/>
      <c r="M15" s="32"/>
      <c r="N15" s="32"/>
      <c r="O15" s="32"/>
      <c r="P15" s="32"/>
      <c r="Q15" s="32"/>
      <c r="R15" s="32"/>
      <c r="S15" s="32"/>
      <c r="T15" s="32"/>
      <c r="U15" s="32"/>
      <c r="V15" s="32"/>
      <c r="W15" s="32"/>
      <c r="X15" s="32"/>
    </row>
    <row r="16" spans="1:26" ht="15" customHeight="1" x14ac:dyDescent="0.35">
      <c r="A16" s="32"/>
      <c r="B16" s="32"/>
      <c r="C16" s="32"/>
      <c r="D16" s="32"/>
      <c r="E16" s="32"/>
      <c r="F16" s="32"/>
      <c r="G16" s="32"/>
      <c r="H16" s="32"/>
      <c r="I16" s="32"/>
      <c r="J16" s="32"/>
      <c r="K16" s="32"/>
      <c r="L16" s="32"/>
      <c r="M16" s="32"/>
      <c r="N16" s="32"/>
      <c r="O16" s="32"/>
      <c r="P16" s="32"/>
      <c r="Q16" s="32"/>
      <c r="R16" s="32"/>
      <c r="S16" s="32"/>
      <c r="T16" s="32"/>
      <c r="U16" s="32"/>
      <c r="V16" s="32"/>
      <c r="W16" s="32"/>
      <c r="X16" s="32"/>
    </row>
    <row r="17" spans="1:24" ht="15" customHeight="1" x14ac:dyDescent="0.35">
      <c r="A17" s="32"/>
      <c r="B17" s="32"/>
      <c r="C17" s="32"/>
      <c r="D17" s="32"/>
      <c r="E17" s="32"/>
      <c r="F17" s="32"/>
      <c r="G17" s="32"/>
      <c r="H17" s="32"/>
      <c r="I17" s="32"/>
      <c r="J17" s="32"/>
      <c r="K17" s="32"/>
      <c r="L17" s="32"/>
      <c r="M17" s="32"/>
      <c r="N17" s="32"/>
      <c r="O17" s="32"/>
      <c r="P17" s="32"/>
      <c r="Q17" s="32"/>
      <c r="R17" s="32"/>
      <c r="S17" s="32"/>
      <c r="T17" s="32"/>
      <c r="U17" s="32"/>
      <c r="V17" s="32"/>
      <c r="W17" s="32"/>
      <c r="X17" s="32"/>
    </row>
    <row r="18" spans="1:24" x14ac:dyDescent="0.35">
      <c r="A18" s="32"/>
      <c r="B18" s="32"/>
      <c r="C18" s="32"/>
      <c r="D18" s="32"/>
      <c r="E18" s="32"/>
      <c r="F18" s="32"/>
      <c r="G18" s="32"/>
      <c r="H18" s="32"/>
      <c r="I18" s="32"/>
      <c r="J18" s="32"/>
      <c r="K18" s="32"/>
      <c r="L18" s="32"/>
      <c r="M18" s="32"/>
      <c r="N18" s="32"/>
      <c r="O18" s="32"/>
      <c r="P18" s="32"/>
      <c r="Q18" s="32"/>
      <c r="R18" s="32"/>
      <c r="S18" s="32"/>
      <c r="T18" s="32"/>
      <c r="U18" s="32"/>
      <c r="V18" s="32"/>
      <c r="W18" s="32"/>
      <c r="X18" s="32"/>
    </row>
    <row r="19" spans="1:24"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row>
    <row r="20" spans="1:24" x14ac:dyDescent="0.35">
      <c r="A20" s="32"/>
      <c r="B20" s="32"/>
      <c r="C20" s="32"/>
      <c r="D20" s="32"/>
      <c r="E20" s="32"/>
      <c r="F20" s="32"/>
      <c r="G20" s="32"/>
      <c r="H20" s="32"/>
      <c r="I20" s="32"/>
      <c r="J20" s="32"/>
      <c r="K20" s="32"/>
      <c r="L20" s="32"/>
      <c r="M20" s="32"/>
      <c r="N20" s="32"/>
      <c r="O20" s="32"/>
      <c r="P20" s="32"/>
      <c r="Q20" s="32"/>
      <c r="R20" s="32"/>
      <c r="S20" s="32"/>
      <c r="T20" s="32"/>
      <c r="U20" s="32"/>
      <c r="V20" s="32"/>
      <c r="W20" s="32"/>
      <c r="X20" s="32"/>
    </row>
    <row r="21" spans="1:24" x14ac:dyDescent="0.35">
      <c r="A21" s="32"/>
      <c r="B21" s="32"/>
      <c r="C21" s="32"/>
      <c r="D21" s="32"/>
      <c r="E21" s="32"/>
      <c r="F21" s="32"/>
      <c r="G21" s="32"/>
      <c r="H21" s="32"/>
      <c r="I21" s="32"/>
      <c r="J21" s="32"/>
      <c r="K21" s="32"/>
      <c r="L21" s="32"/>
      <c r="M21" s="32"/>
      <c r="N21" s="32"/>
      <c r="O21" s="32"/>
      <c r="P21" s="32"/>
      <c r="Q21" s="32"/>
      <c r="R21" s="32"/>
      <c r="S21" s="32"/>
      <c r="T21" s="32"/>
      <c r="U21" s="32"/>
      <c r="V21" s="32"/>
      <c r="W21" s="32"/>
      <c r="X21" s="32"/>
    </row>
    <row r="22" spans="1:24" x14ac:dyDescent="0.35">
      <c r="A22" s="32"/>
      <c r="B22" s="32"/>
      <c r="C22" s="32"/>
      <c r="D22" s="32"/>
      <c r="E22" s="32"/>
      <c r="F22" s="32"/>
      <c r="G22" s="32"/>
      <c r="H22" s="32"/>
      <c r="I22" s="32"/>
      <c r="J22" s="32"/>
      <c r="K22" s="32"/>
      <c r="L22" s="32"/>
      <c r="M22" s="32"/>
      <c r="N22" s="32"/>
      <c r="O22" s="32"/>
      <c r="P22" s="32"/>
      <c r="Q22" s="32"/>
      <c r="R22" s="32"/>
      <c r="S22" s="32"/>
      <c r="T22" s="32"/>
      <c r="U22" s="32"/>
      <c r="V22" s="32"/>
      <c r="W22" s="32"/>
      <c r="X22" s="32"/>
    </row>
    <row r="23" spans="1:24" x14ac:dyDescent="0.35">
      <c r="A23" s="32"/>
      <c r="B23" s="32"/>
      <c r="C23" s="51"/>
      <c r="D23" s="51"/>
      <c r="E23" s="32"/>
      <c r="F23" s="32"/>
      <c r="G23" s="32"/>
      <c r="H23" s="32"/>
      <c r="I23" s="32"/>
      <c r="J23" s="32"/>
      <c r="K23" s="32"/>
      <c r="L23" s="32"/>
      <c r="M23" s="32"/>
      <c r="N23" s="32"/>
      <c r="O23" s="32"/>
      <c r="P23" s="32"/>
      <c r="Q23" s="32"/>
      <c r="R23" s="32"/>
      <c r="S23" s="32"/>
      <c r="T23" s="32"/>
      <c r="U23" s="32"/>
      <c r="V23" s="32"/>
      <c r="W23" s="32"/>
      <c r="X23" s="32"/>
    </row>
    <row r="24" spans="1:24" x14ac:dyDescent="0.35">
      <c r="A24" s="32"/>
      <c r="B24" s="32"/>
      <c r="C24" s="32"/>
      <c r="D24" s="32"/>
      <c r="E24" s="32"/>
      <c r="F24" s="32"/>
      <c r="G24" s="32"/>
      <c r="H24" s="32"/>
      <c r="I24" s="32"/>
      <c r="J24" s="32"/>
      <c r="K24" s="32"/>
      <c r="L24" s="32"/>
      <c r="M24" s="32"/>
      <c r="N24" s="32"/>
      <c r="O24" s="32"/>
      <c r="P24" s="32"/>
      <c r="Q24" s="32"/>
      <c r="R24" s="32"/>
      <c r="S24" s="32"/>
      <c r="T24" s="32"/>
      <c r="U24" s="32"/>
      <c r="V24" s="32"/>
      <c r="W24" s="32"/>
      <c r="X24" s="32"/>
    </row>
    <row r="25" spans="1:24" x14ac:dyDescent="0.35">
      <c r="A25" s="32"/>
      <c r="B25" s="32"/>
      <c r="C25" s="32"/>
      <c r="D25" s="32"/>
      <c r="E25" s="32"/>
      <c r="F25" s="32"/>
      <c r="G25" s="32"/>
      <c r="H25" s="32"/>
      <c r="I25" s="32"/>
      <c r="J25" s="32"/>
      <c r="K25" s="32"/>
      <c r="L25" s="32"/>
      <c r="M25" s="32"/>
      <c r="N25" s="32"/>
      <c r="O25" s="32"/>
      <c r="P25" s="32"/>
      <c r="Q25" s="32"/>
      <c r="R25" s="32"/>
      <c r="S25" s="32"/>
      <c r="T25" s="32"/>
      <c r="U25" s="32"/>
      <c r="V25" s="32"/>
      <c r="W25" s="32"/>
      <c r="X25" s="32"/>
    </row>
    <row r="26" spans="1:24" x14ac:dyDescent="0.35">
      <c r="A26" s="32"/>
      <c r="B26" s="32"/>
      <c r="C26" s="32"/>
      <c r="D26" s="32"/>
      <c r="E26" s="32"/>
      <c r="F26" s="32"/>
      <c r="G26" s="32"/>
      <c r="H26" s="32"/>
      <c r="I26" s="32"/>
      <c r="J26" s="32"/>
      <c r="K26" s="32"/>
      <c r="L26" s="32"/>
      <c r="M26" s="32"/>
      <c r="N26" s="32"/>
      <c r="O26" s="32"/>
      <c r="P26" s="32"/>
      <c r="Q26" s="32"/>
      <c r="R26" s="32"/>
      <c r="S26" s="32"/>
      <c r="T26" s="32"/>
      <c r="U26" s="32"/>
      <c r="V26" s="32"/>
      <c r="W26" s="32"/>
      <c r="X26" s="32"/>
    </row>
    <row r="27" spans="1:24" x14ac:dyDescent="0.35">
      <c r="A27" s="32"/>
      <c r="B27" s="32"/>
      <c r="C27" s="32"/>
      <c r="D27" s="32"/>
      <c r="E27" s="32"/>
      <c r="F27" s="32"/>
      <c r="G27" s="32"/>
      <c r="H27" s="32"/>
      <c r="I27" s="32"/>
      <c r="J27" s="32"/>
      <c r="K27" s="32"/>
      <c r="L27" s="32"/>
      <c r="M27" s="32"/>
      <c r="N27" s="32"/>
      <c r="O27" s="32"/>
      <c r="P27" s="32"/>
      <c r="Q27" s="32"/>
      <c r="R27" s="32"/>
      <c r="S27" s="32"/>
      <c r="T27" s="32"/>
      <c r="U27" s="32"/>
      <c r="V27" s="32"/>
      <c r="W27" s="32"/>
      <c r="X27" s="32"/>
    </row>
    <row r="28" spans="1:24" x14ac:dyDescent="0.35">
      <c r="A28" s="32"/>
      <c r="B28" s="32"/>
      <c r="C28" s="32"/>
      <c r="D28" s="32"/>
      <c r="E28" s="32"/>
      <c r="F28" s="32"/>
      <c r="G28" s="32"/>
      <c r="H28" s="32"/>
      <c r="I28" s="32"/>
      <c r="J28" s="32"/>
      <c r="K28" s="32"/>
      <c r="L28" s="32"/>
      <c r="M28" s="32"/>
      <c r="N28" s="32"/>
      <c r="O28" s="32"/>
      <c r="P28" s="32"/>
      <c r="Q28" s="32"/>
      <c r="R28" s="32"/>
      <c r="S28" s="32"/>
      <c r="T28" s="32"/>
      <c r="U28" s="32"/>
      <c r="V28" s="32"/>
      <c r="W28" s="32"/>
      <c r="X28" s="32"/>
    </row>
    <row r="29" spans="1:24" x14ac:dyDescent="0.35">
      <c r="A29" s="32"/>
      <c r="B29" s="32"/>
      <c r="C29" s="32"/>
      <c r="D29" s="32"/>
      <c r="E29" s="32"/>
      <c r="F29" s="32"/>
      <c r="G29" s="32"/>
      <c r="H29" s="32"/>
      <c r="I29" s="32"/>
      <c r="J29" s="32"/>
      <c r="K29" s="32"/>
      <c r="L29" s="32"/>
      <c r="M29" s="32"/>
      <c r="N29" s="32"/>
      <c r="O29" s="32"/>
      <c r="P29" s="32"/>
      <c r="Q29" s="32"/>
      <c r="R29" s="32"/>
      <c r="S29" s="32"/>
      <c r="T29" s="32"/>
      <c r="U29" s="32"/>
      <c r="V29" s="32"/>
      <c r="W29" s="32"/>
      <c r="X29" s="32"/>
    </row>
    <row r="30" spans="1:24" x14ac:dyDescent="0.35">
      <c r="A30" s="32"/>
      <c r="B30" s="32"/>
      <c r="C30" s="32"/>
      <c r="D30" s="32"/>
      <c r="E30" s="32"/>
      <c r="F30" s="32"/>
      <c r="G30" s="32"/>
      <c r="H30" s="32"/>
      <c r="I30" s="32"/>
      <c r="J30" s="32"/>
      <c r="K30" s="32"/>
      <c r="L30" s="32"/>
      <c r="M30" s="32"/>
      <c r="N30" s="32"/>
      <c r="O30" s="32"/>
      <c r="P30" s="32"/>
      <c r="Q30" s="32"/>
      <c r="R30" s="32"/>
      <c r="S30" s="32"/>
      <c r="T30" s="32"/>
      <c r="U30" s="32"/>
      <c r="V30" s="32"/>
      <c r="W30" s="32"/>
      <c r="X30" s="32"/>
    </row>
    <row r="31" spans="1:24" x14ac:dyDescent="0.35">
      <c r="A31" s="32"/>
      <c r="B31" s="32"/>
      <c r="C31" s="32"/>
      <c r="D31" s="32"/>
      <c r="E31" s="32"/>
      <c r="F31" s="32"/>
      <c r="G31" s="32"/>
      <c r="H31" s="32"/>
      <c r="I31" s="32"/>
      <c r="J31" s="32"/>
      <c r="K31" s="32"/>
      <c r="L31" s="32"/>
      <c r="M31" s="32"/>
      <c r="N31" s="32"/>
      <c r="O31" s="32"/>
      <c r="P31" s="32"/>
      <c r="Q31" s="32"/>
      <c r="R31" s="32"/>
      <c r="S31" s="32"/>
      <c r="T31" s="32"/>
      <c r="U31" s="32"/>
      <c r="V31" s="32"/>
      <c r="W31" s="32"/>
      <c r="X31" s="32"/>
    </row>
    <row r="32" spans="1:24" x14ac:dyDescent="0.35">
      <c r="A32" s="32"/>
      <c r="B32" s="32"/>
      <c r="C32" s="32"/>
      <c r="D32" s="32"/>
      <c r="E32" s="32"/>
      <c r="F32" s="32"/>
      <c r="G32" s="32"/>
      <c r="H32" s="32"/>
      <c r="I32" s="32"/>
      <c r="J32" s="32"/>
      <c r="K32" s="32"/>
      <c r="L32" s="32"/>
      <c r="M32" s="32"/>
      <c r="N32" s="32"/>
      <c r="O32" s="32"/>
      <c r="P32" s="32"/>
      <c r="Q32" s="32"/>
      <c r="R32" s="32"/>
      <c r="S32" s="32"/>
      <c r="T32" s="32"/>
      <c r="U32" s="32"/>
      <c r="V32" s="32"/>
      <c r="W32" s="32"/>
      <c r="X32" s="32"/>
    </row>
    <row r="33" spans="1:24" x14ac:dyDescent="0.35">
      <c r="A33" s="32"/>
      <c r="B33" s="32"/>
      <c r="C33" s="32"/>
      <c r="D33" s="32"/>
      <c r="E33" s="32"/>
      <c r="F33" s="32"/>
      <c r="G33" s="32"/>
      <c r="H33" s="32"/>
      <c r="I33" s="32"/>
      <c r="J33" s="32"/>
      <c r="K33" s="32"/>
      <c r="L33" s="32"/>
      <c r="M33" s="32"/>
      <c r="N33" s="32"/>
      <c r="O33" s="32"/>
      <c r="P33" s="32"/>
      <c r="Q33" s="32"/>
      <c r="R33" s="32"/>
      <c r="S33" s="32"/>
      <c r="T33" s="32"/>
      <c r="U33" s="32"/>
      <c r="V33" s="32"/>
      <c r="W33" s="32"/>
      <c r="X33" s="32"/>
    </row>
    <row r="34" spans="1:24" x14ac:dyDescent="0.35">
      <c r="A34" s="32"/>
      <c r="B34" s="32"/>
      <c r="C34" s="32"/>
      <c r="D34" s="32"/>
      <c r="E34" s="32"/>
      <c r="F34" s="32"/>
      <c r="G34" s="32"/>
      <c r="H34" s="32"/>
      <c r="I34" s="32"/>
      <c r="J34" s="32"/>
      <c r="K34" s="32"/>
      <c r="L34" s="32"/>
      <c r="M34" s="32"/>
      <c r="N34" s="32"/>
      <c r="O34" s="32"/>
      <c r="P34" s="32"/>
      <c r="Q34" s="32"/>
      <c r="R34" s="32"/>
      <c r="S34" s="32"/>
      <c r="T34" s="32"/>
      <c r="U34" s="32"/>
      <c r="V34" s="32"/>
      <c r="W34" s="32"/>
      <c r="X34" s="32"/>
    </row>
    <row r="35" spans="1:24" x14ac:dyDescent="0.35">
      <c r="A35" s="32"/>
      <c r="B35" s="32"/>
      <c r="C35" s="32"/>
      <c r="D35" s="32"/>
      <c r="E35" s="32"/>
      <c r="F35" s="32"/>
      <c r="G35" s="32"/>
      <c r="H35" s="32"/>
      <c r="I35" s="32"/>
      <c r="J35" s="32"/>
      <c r="K35" s="32"/>
      <c r="L35" s="32"/>
      <c r="M35" s="32"/>
      <c r="N35" s="32"/>
      <c r="O35" s="32"/>
      <c r="P35" s="32"/>
      <c r="Q35" s="32"/>
      <c r="R35" s="32"/>
      <c r="S35" s="32"/>
      <c r="T35" s="32"/>
      <c r="U35" s="32"/>
      <c r="V35" s="32"/>
      <c r="W35" s="32"/>
      <c r="X35" s="32"/>
    </row>
    <row r="36" spans="1:24" x14ac:dyDescent="0.35">
      <c r="A36" s="32"/>
      <c r="B36" s="32"/>
      <c r="C36" s="32"/>
      <c r="D36" s="32"/>
      <c r="E36" s="32"/>
      <c r="F36" s="32"/>
      <c r="G36" s="32"/>
      <c r="H36" s="32"/>
      <c r="I36" s="32"/>
      <c r="J36" s="32"/>
      <c r="K36" s="32"/>
      <c r="L36" s="32"/>
      <c r="M36" s="32"/>
      <c r="N36" s="32"/>
      <c r="O36" s="32"/>
      <c r="P36" s="32"/>
      <c r="Q36" s="32"/>
      <c r="R36" s="32"/>
      <c r="S36" s="32"/>
      <c r="T36" s="32"/>
      <c r="U36" s="32"/>
      <c r="V36" s="32"/>
      <c r="W36" s="32"/>
      <c r="X36" s="32"/>
    </row>
    <row r="37" spans="1:24" x14ac:dyDescent="0.35">
      <c r="A37" s="32"/>
      <c r="B37" s="32"/>
      <c r="C37" s="32"/>
      <c r="D37" s="32"/>
      <c r="E37" s="32"/>
      <c r="F37" s="32"/>
      <c r="G37" s="32"/>
      <c r="H37" s="32"/>
      <c r="I37" s="32"/>
      <c r="J37" s="32"/>
      <c r="K37" s="32"/>
      <c r="L37" s="32"/>
      <c r="M37" s="32"/>
      <c r="N37" s="32"/>
      <c r="O37" s="32"/>
      <c r="P37" s="32"/>
      <c r="Q37" s="32"/>
      <c r="R37" s="32"/>
      <c r="S37" s="32"/>
      <c r="T37" s="32"/>
      <c r="U37" s="32"/>
      <c r="V37" s="32"/>
      <c r="W37" s="32"/>
      <c r="X37" s="32"/>
    </row>
    <row r="38" spans="1:24" x14ac:dyDescent="0.35">
      <c r="A38" s="32"/>
      <c r="B38" s="32"/>
      <c r="C38" s="32"/>
      <c r="D38" s="32"/>
      <c r="E38" s="32"/>
      <c r="F38" s="32"/>
      <c r="G38" s="32"/>
      <c r="H38" s="32"/>
      <c r="I38" s="32"/>
      <c r="J38" s="32"/>
      <c r="K38" s="32"/>
      <c r="L38" s="32"/>
      <c r="M38" s="32"/>
      <c r="N38" s="32"/>
      <c r="O38" s="32"/>
      <c r="P38" s="32"/>
      <c r="Q38" s="32"/>
      <c r="R38" s="32"/>
      <c r="S38" s="32"/>
      <c r="T38" s="32"/>
      <c r="U38" s="32"/>
      <c r="V38" s="32"/>
      <c r="W38" s="32"/>
      <c r="X38" s="32"/>
    </row>
    <row r="39" spans="1:24" x14ac:dyDescent="0.35">
      <c r="A39" s="32"/>
      <c r="B39" s="32"/>
      <c r="C39" s="32"/>
      <c r="D39" s="32"/>
      <c r="E39" s="32"/>
      <c r="F39" s="32"/>
      <c r="G39" s="32"/>
      <c r="H39" s="32"/>
      <c r="I39" s="32"/>
      <c r="J39" s="32"/>
      <c r="K39" s="32"/>
      <c r="L39" s="32"/>
      <c r="M39" s="32"/>
      <c r="N39" s="32"/>
      <c r="O39" s="32"/>
      <c r="P39" s="32"/>
      <c r="Q39" s="32"/>
      <c r="R39" s="32"/>
      <c r="S39" s="32"/>
      <c r="T39" s="32"/>
      <c r="U39" s="32"/>
      <c r="V39" s="32"/>
      <c r="W39" s="32"/>
      <c r="X39" s="32"/>
    </row>
    <row r="40" spans="1:24" x14ac:dyDescent="0.35">
      <c r="A40" s="32"/>
      <c r="B40" s="32"/>
      <c r="C40" s="32"/>
      <c r="D40" s="32"/>
      <c r="E40" s="32"/>
      <c r="F40" s="32"/>
      <c r="G40" s="32"/>
      <c r="H40" s="32"/>
      <c r="I40" s="32"/>
      <c r="J40" s="32"/>
      <c r="K40" s="32"/>
      <c r="L40" s="32"/>
      <c r="M40" s="32"/>
      <c r="N40" s="32"/>
      <c r="O40" s="32"/>
      <c r="P40" s="32"/>
      <c r="Q40" s="32"/>
      <c r="R40" s="32"/>
      <c r="S40" s="32"/>
      <c r="T40" s="32"/>
      <c r="U40" s="32"/>
      <c r="V40" s="32"/>
      <c r="W40" s="32"/>
      <c r="X40" s="32"/>
    </row>
    <row r="41" spans="1:24" x14ac:dyDescent="0.35">
      <c r="A41" s="32"/>
      <c r="B41" s="32"/>
      <c r="C41" s="32"/>
      <c r="D41" s="32"/>
      <c r="E41" s="32"/>
      <c r="F41" s="32"/>
      <c r="G41" s="32"/>
      <c r="H41" s="32"/>
      <c r="I41" s="32"/>
      <c r="J41" s="32"/>
      <c r="K41" s="32"/>
      <c r="L41" s="32"/>
      <c r="M41" s="32"/>
      <c r="N41" s="32"/>
      <c r="O41" s="32"/>
      <c r="P41" s="32"/>
      <c r="Q41" s="32"/>
      <c r="R41" s="32"/>
      <c r="S41" s="32"/>
      <c r="T41" s="32"/>
      <c r="U41" s="32"/>
      <c r="V41" s="32"/>
      <c r="W41" s="32"/>
      <c r="X41" s="32"/>
    </row>
    <row r="42" spans="1:24" x14ac:dyDescent="0.35">
      <c r="A42" s="32"/>
      <c r="B42" s="32"/>
      <c r="C42" s="32"/>
      <c r="D42" s="32"/>
      <c r="E42" s="32"/>
      <c r="F42" s="32"/>
      <c r="G42" s="32"/>
      <c r="H42" s="32"/>
      <c r="I42" s="32"/>
      <c r="J42" s="32"/>
      <c r="K42" s="32"/>
      <c r="L42" s="32"/>
      <c r="M42" s="32"/>
      <c r="N42" s="32"/>
      <c r="O42" s="32"/>
      <c r="P42" s="32"/>
      <c r="Q42" s="32"/>
      <c r="R42" s="32"/>
      <c r="S42" s="32"/>
      <c r="T42" s="32"/>
      <c r="U42" s="32"/>
      <c r="V42" s="32"/>
      <c r="W42" s="32"/>
      <c r="X42" s="32"/>
    </row>
    <row r="43" spans="1:24" x14ac:dyDescent="0.35">
      <c r="A43" s="32"/>
      <c r="B43" s="32"/>
      <c r="C43" s="32"/>
      <c r="D43" s="32"/>
      <c r="E43" s="32"/>
      <c r="F43" s="32"/>
      <c r="G43" s="32"/>
      <c r="H43" s="32"/>
      <c r="I43" s="32"/>
      <c r="J43" s="32"/>
      <c r="K43" s="32"/>
      <c r="L43" s="32"/>
      <c r="M43" s="32"/>
      <c r="N43" s="32"/>
      <c r="O43" s="32"/>
      <c r="P43" s="32"/>
      <c r="Q43" s="32"/>
      <c r="R43" s="32"/>
      <c r="S43" s="32"/>
      <c r="T43" s="32"/>
      <c r="U43" s="32"/>
      <c r="V43" s="32"/>
      <c r="W43" s="32"/>
      <c r="X43" s="32"/>
    </row>
    <row r="44" spans="1:24" x14ac:dyDescent="0.35">
      <c r="A44" s="32"/>
      <c r="B44" s="32"/>
      <c r="C44" s="32"/>
      <c r="D44" s="32"/>
      <c r="E44" s="32"/>
      <c r="F44" s="32"/>
      <c r="G44" s="32"/>
      <c r="H44" s="32"/>
      <c r="I44" s="32"/>
      <c r="J44" s="32"/>
      <c r="K44" s="32"/>
      <c r="L44" s="32"/>
      <c r="M44" s="32"/>
      <c r="N44" s="32"/>
      <c r="O44" s="32"/>
      <c r="P44" s="32"/>
      <c r="Q44" s="32"/>
      <c r="R44" s="32"/>
      <c r="S44" s="32"/>
      <c r="T44" s="32"/>
      <c r="U44" s="32"/>
      <c r="V44" s="32"/>
      <c r="W44" s="32"/>
      <c r="X44" s="32"/>
    </row>
    <row r="45" spans="1:24" x14ac:dyDescent="0.35">
      <c r="A45" s="32"/>
      <c r="B45" s="32"/>
      <c r="C45" s="32"/>
      <c r="D45" s="32"/>
      <c r="E45" s="32"/>
      <c r="F45" s="32"/>
      <c r="G45" s="32"/>
      <c r="H45" s="32"/>
      <c r="I45" s="32"/>
      <c r="J45" s="32"/>
      <c r="K45" s="32"/>
      <c r="L45" s="32"/>
      <c r="M45" s="32"/>
      <c r="N45" s="39"/>
      <c r="O45" s="32"/>
      <c r="P45" s="32"/>
      <c r="Q45" s="32"/>
      <c r="R45" s="32"/>
      <c r="S45" s="32"/>
      <c r="T45" s="32"/>
      <c r="U45" s="32"/>
      <c r="V45" s="32"/>
      <c r="W45" s="32"/>
      <c r="X45" s="32"/>
    </row>
    <row r="46" spans="1:24" x14ac:dyDescent="0.35">
      <c r="A46" s="32"/>
      <c r="B46" s="32"/>
      <c r="C46" s="32"/>
      <c r="D46" s="32"/>
      <c r="E46" s="32"/>
      <c r="F46" s="32"/>
      <c r="G46" s="32"/>
      <c r="H46" s="32"/>
      <c r="I46" s="32"/>
      <c r="J46" s="32"/>
      <c r="K46" s="32"/>
      <c r="L46" s="32"/>
      <c r="M46" s="32"/>
      <c r="N46" s="32"/>
      <c r="O46" s="32"/>
      <c r="P46" s="32"/>
      <c r="Q46" s="32"/>
      <c r="R46" s="32"/>
      <c r="S46" s="32"/>
      <c r="T46" s="32"/>
      <c r="U46" s="32"/>
      <c r="V46" s="32"/>
      <c r="W46" s="32"/>
      <c r="X46" s="32"/>
    </row>
    <row r="47" spans="1:24" ht="15" customHeight="1" x14ac:dyDescent="0.35">
      <c r="A47" s="32"/>
      <c r="B47" s="32"/>
      <c r="C47" s="32"/>
      <c r="D47" s="32"/>
      <c r="E47" s="32"/>
      <c r="F47" s="32"/>
      <c r="G47" s="32"/>
      <c r="H47" s="40"/>
      <c r="I47" s="40"/>
      <c r="J47" s="40"/>
      <c r="K47" s="40"/>
      <c r="L47" s="40"/>
      <c r="M47" s="40"/>
      <c r="N47" s="40"/>
      <c r="O47" s="40"/>
      <c r="P47" s="40"/>
      <c r="Q47" s="40"/>
      <c r="R47" s="33"/>
      <c r="S47" s="32"/>
      <c r="T47" s="32"/>
      <c r="U47" s="32"/>
      <c r="V47" s="32"/>
      <c r="W47" s="32"/>
      <c r="X47" s="32"/>
    </row>
    <row r="48" spans="1:24" ht="15" customHeight="1" x14ac:dyDescent="0.35">
      <c r="A48" s="32"/>
      <c r="B48" s="32"/>
      <c r="C48" s="32"/>
      <c r="D48" s="32"/>
      <c r="E48" s="32"/>
      <c r="F48" s="32"/>
      <c r="G48" s="32"/>
      <c r="H48" s="40"/>
      <c r="I48" s="40"/>
      <c r="J48" s="40"/>
      <c r="K48" s="40"/>
      <c r="L48" s="40"/>
      <c r="M48" s="40"/>
      <c r="N48" s="40"/>
      <c r="O48" s="40"/>
      <c r="P48" s="40"/>
      <c r="Q48" s="40"/>
      <c r="R48" s="33"/>
      <c r="S48" s="32"/>
      <c r="T48" s="32"/>
      <c r="U48" s="32"/>
      <c r="V48" s="32"/>
      <c r="W48" s="32"/>
      <c r="X48" s="32"/>
    </row>
    <row r="49" spans="1:24" ht="15" customHeight="1" x14ac:dyDescent="0.35">
      <c r="A49" s="32"/>
      <c r="B49" s="32"/>
      <c r="C49" s="32"/>
      <c r="D49" s="32"/>
      <c r="E49" s="32"/>
      <c r="F49" s="32"/>
      <c r="G49" s="32"/>
      <c r="H49" s="41"/>
      <c r="I49" s="41"/>
      <c r="J49" s="42"/>
      <c r="K49" s="41"/>
      <c r="L49" s="43"/>
      <c r="M49" s="43"/>
      <c r="N49" s="44"/>
      <c r="O49" s="44"/>
      <c r="P49" s="45"/>
      <c r="Q49" s="45"/>
      <c r="R49" s="33"/>
      <c r="S49" s="32"/>
      <c r="T49" s="32"/>
      <c r="U49" s="32"/>
      <c r="V49" s="32"/>
      <c r="W49" s="32"/>
      <c r="X49" s="32"/>
    </row>
    <row r="50" spans="1:24" ht="15" customHeight="1" x14ac:dyDescent="0.35">
      <c r="A50" s="32"/>
      <c r="B50" s="32"/>
      <c r="C50" s="32"/>
      <c r="D50" s="32"/>
      <c r="E50" s="32"/>
      <c r="F50" s="32"/>
      <c r="G50" s="32"/>
      <c r="H50" s="41"/>
      <c r="I50" s="41"/>
      <c r="J50" s="41"/>
      <c r="K50" s="41"/>
      <c r="L50" s="43"/>
      <c r="M50" s="43"/>
      <c r="N50" s="44"/>
      <c r="O50" s="44"/>
      <c r="P50" s="45"/>
      <c r="Q50" s="45"/>
      <c r="R50" s="33"/>
      <c r="S50" s="32"/>
      <c r="T50" s="32"/>
      <c r="U50" s="32"/>
      <c r="V50" s="32"/>
      <c r="W50" s="32"/>
      <c r="X50" s="32"/>
    </row>
    <row r="51" spans="1:24" x14ac:dyDescent="0.35">
      <c r="A51" s="32"/>
      <c r="B51" s="32"/>
      <c r="C51" s="32"/>
      <c r="D51" s="32"/>
      <c r="E51" s="32"/>
      <c r="F51" s="32"/>
      <c r="G51" s="32"/>
      <c r="H51" s="32"/>
      <c r="I51" s="32"/>
      <c r="J51" s="32"/>
      <c r="K51" s="32"/>
      <c r="L51" s="32"/>
      <c r="M51" s="32"/>
      <c r="N51" s="32"/>
      <c r="O51" s="32"/>
      <c r="P51" s="32"/>
      <c r="Q51" s="32"/>
      <c r="R51" s="32"/>
      <c r="S51" s="32"/>
      <c r="T51" s="32"/>
      <c r="U51" s="32"/>
      <c r="V51" s="32"/>
      <c r="W51" s="32"/>
      <c r="X51" s="32"/>
    </row>
    <row r="52" spans="1:24" x14ac:dyDescent="0.35">
      <c r="A52" s="32"/>
      <c r="B52" s="32"/>
      <c r="C52" s="32"/>
      <c r="D52" s="32"/>
      <c r="E52" s="32"/>
      <c r="F52" s="32"/>
      <c r="G52" s="32"/>
      <c r="H52" s="32"/>
      <c r="I52" s="32"/>
      <c r="J52" s="32"/>
      <c r="K52" s="32"/>
      <c r="L52" s="32"/>
      <c r="M52" s="32"/>
      <c r="N52" s="32"/>
      <c r="O52" s="32"/>
      <c r="P52" s="32"/>
      <c r="Q52" s="32"/>
      <c r="R52" s="32"/>
      <c r="S52" s="32"/>
      <c r="T52" s="32"/>
      <c r="U52" s="32"/>
      <c r="V52" s="32"/>
      <c r="W52" s="32"/>
      <c r="X52" s="32"/>
    </row>
    <row r="53" spans="1:24" x14ac:dyDescent="0.35">
      <c r="A53" s="32"/>
      <c r="B53" s="32"/>
      <c r="C53" s="32"/>
      <c r="D53" s="32"/>
      <c r="E53" s="32"/>
      <c r="F53" s="32"/>
      <c r="G53" s="32"/>
      <c r="H53" s="32"/>
      <c r="I53" s="32"/>
      <c r="J53" s="32"/>
      <c r="K53" s="32"/>
      <c r="L53" s="32"/>
      <c r="M53" s="32"/>
      <c r="N53" s="32"/>
      <c r="O53" s="32"/>
      <c r="P53" s="32"/>
      <c r="Q53" s="32"/>
      <c r="R53" s="32"/>
      <c r="S53" s="32"/>
      <c r="T53" s="32"/>
      <c r="U53" s="32"/>
      <c r="V53" s="32"/>
      <c r="W53" s="32"/>
      <c r="X53" s="32"/>
    </row>
    <row r="54" spans="1:24" x14ac:dyDescent="0.35">
      <c r="A54" s="32"/>
      <c r="B54" s="32"/>
      <c r="C54" s="32"/>
      <c r="D54" s="32"/>
      <c r="E54" s="32"/>
      <c r="F54" s="32"/>
      <c r="G54" s="32"/>
      <c r="H54" s="32"/>
      <c r="I54" s="32"/>
      <c r="J54" s="32"/>
      <c r="K54" s="32"/>
      <c r="L54" s="32"/>
      <c r="M54" s="32"/>
      <c r="N54" s="32"/>
      <c r="O54" s="32"/>
      <c r="P54" s="32"/>
      <c r="Q54" s="32"/>
      <c r="R54" s="32"/>
      <c r="S54" s="32"/>
      <c r="T54" s="32"/>
      <c r="U54" s="32"/>
      <c r="V54" s="32"/>
      <c r="W54" s="32"/>
      <c r="X54" s="32"/>
    </row>
    <row r="55" spans="1:24" x14ac:dyDescent="0.35">
      <c r="A55" s="32"/>
      <c r="B55" s="32"/>
      <c r="C55" s="32"/>
      <c r="D55" s="32"/>
      <c r="E55" s="32"/>
      <c r="F55" s="32"/>
      <c r="G55" s="32"/>
      <c r="H55" s="32"/>
      <c r="I55" s="32"/>
      <c r="J55" s="32"/>
      <c r="K55" s="32"/>
      <c r="L55" s="32"/>
      <c r="M55" s="32"/>
      <c r="N55" s="32"/>
      <c r="O55" s="32"/>
      <c r="P55" s="32"/>
      <c r="Q55" s="32"/>
      <c r="R55" s="32"/>
      <c r="S55" s="32"/>
      <c r="T55" s="32"/>
      <c r="U55" s="32"/>
      <c r="V55" s="32"/>
      <c r="W55" s="32"/>
      <c r="X55" s="32"/>
    </row>
    <row r="56" spans="1:24" x14ac:dyDescent="0.35">
      <c r="A56" s="32"/>
      <c r="B56" s="32"/>
      <c r="C56" s="32"/>
      <c r="D56" s="32"/>
      <c r="E56" s="32"/>
      <c r="F56" s="32"/>
      <c r="G56" s="32"/>
      <c r="H56" s="32"/>
      <c r="I56" s="32"/>
      <c r="J56" s="32"/>
      <c r="K56" s="32"/>
      <c r="L56" s="32"/>
      <c r="M56" s="32"/>
      <c r="N56" s="32"/>
      <c r="O56" s="32"/>
      <c r="P56" s="32"/>
      <c r="Q56" s="32"/>
      <c r="R56" s="32"/>
      <c r="S56" s="32"/>
      <c r="T56" s="32"/>
      <c r="U56" s="32"/>
      <c r="V56" s="32"/>
      <c r="W56" s="32"/>
      <c r="X56" s="32"/>
    </row>
    <row r="57" spans="1:24" x14ac:dyDescent="0.35">
      <c r="A57" s="32"/>
      <c r="B57" s="32"/>
      <c r="C57" s="32"/>
      <c r="D57" s="32"/>
      <c r="E57" s="32"/>
      <c r="F57" s="32"/>
      <c r="G57" s="32"/>
      <c r="H57" s="32"/>
      <c r="I57" s="32"/>
      <c r="J57" s="32"/>
      <c r="K57" s="32"/>
      <c r="L57" s="32"/>
      <c r="M57" s="32"/>
      <c r="N57" s="32"/>
      <c r="O57" s="32"/>
      <c r="P57" s="32"/>
      <c r="Q57" s="32"/>
      <c r="R57" s="32"/>
      <c r="S57" s="32"/>
      <c r="T57" s="32"/>
      <c r="U57" s="32"/>
      <c r="V57" s="32"/>
      <c r="W57" s="32"/>
      <c r="X57" s="32"/>
    </row>
    <row r="58" spans="1:24" x14ac:dyDescent="0.35">
      <c r="A58" s="32"/>
      <c r="B58" s="32"/>
      <c r="C58" s="32"/>
      <c r="D58" s="32"/>
      <c r="E58" s="32"/>
      <c r="F58" s="32"/>
      <c r="G58" s="32"/>
      <c r="H58" s="32"/>
      <c r="I58" s="32"/>
      <c r="J58" s="32"/>
      <c r="K58" s="32"/>
      <c r="L58" s="32"/>
      <c r="M58" s="32"/>
      <c r="N58" s="32"/>
      <c r="O58" s="32"/>
      <c r="P58" s="32"/>
      <c r="Q58" s="32"/>
      <c r="R58" s="32"/>
      <c r="S58" s="32"/>
      <c r="T58" s="32"/>
      <c r="U58" s="32"/>
      <c r="V58" s="32"/>
      <c r="W58" s="32"/>
      <c r="X58" s="32"/>
    </row>
    <row r="59" spans="1:24" x14ac:dyDescent="0.35">
      <c r="A59" s="32"/>
      <c r="B59" s="32"/>
      <c r="C59" s="32"/>
      <c r="D59" s="32"/>
      <c r="E59" s="32"/>
      <c r="F59" s="32"/>
      <c r="G59" s="32"/>
      <c r="H59" s="32"/>
      <c r="I59" s="32"/>
      <c r="J59" s="32"/>
      <c r="K59" s="32"/>
      <c r="L59" s="32"/>
      <c r="M59" s="32"/>
      <c r="N59" s="32"/>
      <c r="O59" s="32"/>
      <c r="P59" s="32"/>
      <c r="Q59" s="32"/>
      <c r="R59" s="32"/>
      <c r="S59" s="32"/>
      <c r="T59" s="32"/>
      <c r="U59" s="32"/>
      <c r="V59" s="32"/>
      <c r="W59" s="32"/>
      <c r="X59" s="32"/>
    </row>
    <row r="60" spans="1:24" x14ac:dyDescent="0.35">
      <c r="A60" s="32"/>
      <c r="B60" s="32"/>
      <c r="C60" s="32"/>
      <c r="D60" s="32"/>
      <c r="E60" s="32"/>
      <c r="F60" s="32"/>
      <c r="G60" s="32"/>
      <c r="H60" s="32"/>
      <c r="I60" s="32"/>
      <c r="J60" s="32"/>
      <c r="K60" s="32"/>
      <c r="L60" s="32"/>
      <c r="M60" s="32"/>
      <c r="N60" s="32"/>
      <c r="O60" s="32"/>
      <c r="P60" s="32"/>
      <c r="Q60" s="32"/>
      <c r="R60" s="32"/>
      <c r="S60" s="32"/>
      <c r="T60" s="32"/>
      <c r="U60" s="32"/>
      <c r="V60" s="32"/>
      <c r="W60" s="32"/>
      <c r="X60" s="32"/>
    </row>
    <row r="61" spans="1:24" x14ac:dyDescent="0.35">
      <c r="A61" s="32"/>
      <c r="B61" s="32"/>
      <c r="C61" s="32"/>
      <c r="D61" s="32"/>
      <c r="E61" s="32"/>
      <c r="F61" s="32"/>
      <c r="G61" s="32"/>
      <c r="H61" s="32"/>
      <c r="I61" s="32"/>
      <c r="J61" s="32"/>
      <c r="K61" s="32"/>
      <c r="L61" s="32"/>
      <c r="M61" s="32"/>
      <c r="N61" s="32"/>
      <c r="O61" s="32"/>
      <c r="P61" s="32"/>
      <c r="Q61" s="32"/>
      <c r="R61" s="32"/>
      <c r="S61" s="32"/>
      <c r="T61" s="32"/>
      <c r="U61" s="32"/>
      <c r="V61" s="32"/>
      <c r="W61" s="32"/>
      <c r="X61" s="32"/>
    </row>
    <row r="62" spans="1:24" x14ac:dyDescent="0.35">
      <c r="A62" s="32"/>
      <c r="B62" s="32"/>
      <c r="C62" s="32"/>
      <c r="D62" s="32"/>
      <c r="E62" s="32"/>
      <c r="F62" s="32"/>
      <c r="G62" s="32"/>
      <c r="H62" s="32"/>
      <c r="I62" s="32"/>
      <c r="J62" s="32"/>
      <c r="K62" s="32"/>
      <c r="L62" s="32"/>
      <c r="M62" s="32"/>
      <c r="N62" s="32"/>
      <c r="O62" s="32"/>
      <c r="P62" s="32"/>
      <c r="Q62" s="32"/>
      <c r="R62" s="32"/>
      <c r="S62" s="32"/>
      <c r="T62" s="32"/>
      <c r="U62" s="32"/>
      <c r="V62" s="32"/>
      <c r="W62" s="32"/>
      <c r="X62" s="32"/>
    </row>
    <row r="63" spans="1:24" x14ac:dyDescent="0.35">
      <c r="A63" s="32"/>
      <c r="B63" s="32"/>
      <c r="C63" s="32"/>
      <c r="D63" s="32"/>
      <c r="E63" s="32"/>
      <c r="F63" s="32"/>
      <c r="G63" s="32"/>
      <c r="H63" s="32"/>
      <c r="I63" s="32"/>
      <c r="J63" s="32"/>
      <c r="K63" s="32"/>
      <c r="L63" s="32"/>
      <c r="M63" s="32"/>
      <c r="N63" s="32"/>
      <c r="O63" s="32"/>
      <c r="P63" s="32"/>
      <c r="Q63" s="32"/>
      <c r="R63" s="32"/>
      <c r="S63" s="32"/>
      <c r="T63" s="32"/>
      <c r="U63" s="32"/>
      <c r="V63" s="32"/>
      <c r="W63" s="32"/>
      <c r="X63" s="32"/>
    </row>
    <row r="64" spans="1:24" x14ac:dyDescent="0.35">
      <c r="A64" s="32"/>
      <c r="B64" s="32"/>
      <c r="C64" s="32"/>
      <c r="D64" s="32"/>
      <c r="E64" s="32"/>
      <c r="F64" s="32"/>
      <c r="G64" s="32"/>
      <c r="H64" s="32"/>
      <c r="I64" s="32"/>
      <c r="J64" s="32"/>
      <c r="K64" s="32"/>
      <c r="L64" s="32"/>
      <c r="M64" s="32"/>
      <c r="N64" s="32"/>
      <c r="O64" s="32"/>
      <c r="P64" s="32"/>
      <c r="Q64" s="32"/>
      <c r="R64" s="32"/>
      <c r="S64" s="32"/>
      <c r="T64" s="32"/>
      <c r="U64" s="32"/>
      <c r="V64" s="32"/>
      <c r="W64" s="32"/>
      <c r="X64" s="32"/>
    </row>
    <row r="65" spans="1:24" x14ac:dyDescent="0.35">
      <c r="A65" s="32"/>
      <c r="B65" s="32"/>
      <c r="C65" s="32"/>
      <c r="D65" s="32"/>
      <c r="E65" s="32"/>
      <c r="F65" s="32"/>
      <c r="G65" s="32"/>
      <c r="H65" s="32"/>
      <c r="I65" s="32"/>
      <c r="J65" s="32"/>
      <c r="K65" s="32"/>
      <c r="L65" s="32"/>
      <c r="M65" s="32"/>
      <c r="N65" s="32"/>
      <c r="O65" s="32"/>
      <c r="P65" s="32"/>
      <c r="Q65" s="32"/>
      <c r="R65" s="32"/>
      <c r="S65" s="32"/>
      <c r="T65" s="32"/>
      <c r="U65" s="32"/>
      <c r="V65" s="32"/>
      <c r="W65" s="32"/>
      <c r="X65" s="32"/>
    </row>
    <row r="66" spans="1:24" x14ac:dyDescent="0.35">
      <c r="A66" s="32"/>
      <c r="B66" s="32"/>
      <c r="C66" s="32"/>
      <c r="D66" s="32"/>
      <c r="E66" s="32"/>
      <c r="F66" s="32"/>
      <c r="G66" s="32"/>
      <c r="H66" s="32"/>
      <c r="I66" s="32"/>
      <c r="J66" s="32"/>
      <c r="K66" s="32"/>
      <c r="L66" s="32"/>
      <c r="M66" s="32"/>
      <c r="N66" s="32"/>
      <c r="O66" s="32"/>
      <c r="P66" s="32"/>
      <c r="Q66" s="32"/>
      <c r="R66" s="32"/>
      <c r="S66" s="32"/>
      <c r="T66" s="32"/>
      <c r="U66" s="32"/>
      <c r="V66" s="32"/>
      <c r="W66" s="32"/>
      <c r="X66" s="32"/>
    </row>
    <row r="67" spans="1:24" x14ac:dyDescent="0.35">
      <c r="A67" s="32"/>
      <c r="B67" s="32"/>
      <c r="C67" s="32"/>
      <c r="D67" s="32"/>
      <c r="E67" s="32"/>
      <c r="F67" s="32"/>
      <c r="G67" s="32"/>
      <c r="H67" s="32"/>
      <c r="I67" s="32"/>
      <c r="J67" s="32"/>
      <c r="K67" s="32"/>
      <c r="L67" s="32"/>
      <c r="M67" s="32"/>
      <c r="N67" s="32"/>
      <c r="O67" s="32"/>
      <c r="P67" s="32"/>
      <c r="Q67" s="32"/>
      <c r="R67" s="32"/>
      <c r="S67" s="32"/>
      <c r="T67" s="32"/>
      <c r="U67" s="32"/>
      <c r="V67" s="32"/>
      <c r="W67" s="32"/>
      <c r="X67" s="32"/>
    </row>
  </sheetData>
  <mergeCells count="13">
    <mergeCell ref="A1:X5"/>
    <mergeCell ref="J6:M7"/>
    <mergeCell ref="N6:R7"/>
    <mergeCell ref="J8:M9"/>
    <mergeCell ref="N8:R9"/>
    <mergeCell ref="S6:X7"/>
    <mergeCell ref="S8:X9"/>
    <mergeCell ref="C23:D23"/>
    <mergeCell ref="C13:D13"/>
    <mergeCell ref="C6:F7"/>
    <mergeCell ref="C8:F9"/>
    <mergeCell ref="G6:I7"/>
    <mergeCell ref="G8:I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Call Center Data</vt:lpstr>
      <vt:lpstr>Clean_Data</vt:lpstr>
      <vt:lpstr>Analysis</vt:lpstr>
      <vt:lpstr>Visualization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Abdul Qadeer</cp:lastModifiedBy>
  <cp:lastPrinted>2026-10-12T13:43:42Z</cp:lastPrinted>
  <dcterms:created xsi:type="dcterms:W3CDTF">2024-02-19T11:52:50Z</dcterms:created>
  <dcterms:modified xsi:type="dcterms:W3CDTF">2026-10-12T13:57:20Z</dcterms:modified>
</cp:coreProperties>
</file>